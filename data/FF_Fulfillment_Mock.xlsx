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_Fulfillment_Static" sheetId="1" r:id="rId4"/>
    <sheet state="visible" name="Dim_Client_Information" sheetId="2" r:id="rId5"/>
    <sheet state="visible" name="Dim_Partner_Organizations" sheetId="3" r:id="rId6"/>
    <sheet state="visible" name="Fact_Fulfillment" sheetId="4" r:id="rId7"/>
    <sheet state="visible" name="lists" sheetId="5" r:id="rId8"/>
  </sheets>
  <definedNames/>
  <calcPr/>
</workbook>
</file>

<file path=xl/sharedStrings.xml><?xml version="1.0" encoding="utf-8"?>
<sst xmlns="http://schemas.openxmlformats.org/spreadsheetml/2006/main" count="3562" uniqueCount="96">
  <si>
    <t>Fulfillment_ID</t>
  </si>
  <si>
    <t>Request_Date</t>
  </si>
  <si>
    <t>Fulfillment_Date</t>
  </si>
  <si>
    <t>Fulfillment_Status</t>
  </si>
  <si>
    <t>Days_To_Fulfill</t>
  </si>
  <si>
    <t>Item_Category</t>
  </si>
  <si>
    <t>Item_Type</t>
  </si>
  <si>
    <t>Qty_Req</t>
  </si>
  <si>
    <t>Qty_Full</t>
  </si>
  <si>
    <t>Partner_Org</t>
  </si>
  <si>
    <t>Client_Location</t>
  </si>
  <si>
    <t>Client_TypeID</t>
  </si>
  <si>
    <t>Delivery_Method</t>
  </si>
  <si>
    <t>Household_Size</t>
  </si>
  <si>
    <t>Completed</t>
  </si>
  <si>
    <t>Dining</t>
  </si>
  <si>
    <t>Dining Table</t>
  </si>
  <si>
    <t>Saco &amp; Biddeford Savings</t>
  </si>
  <si>
    <t>Portland</t>
  </si>
  <si>
    <t>Delivery</t>
  </si>
  <si>
    <t>Household Essentials</t>
  </si>
  <si>
    <t>Bedding</t>
  </si>
  <si>
    <t>Rowe Ford Westbrook</t>
  </si>
  <si>
    <t>South Portland</t>
  </si>
  <si>
    <t>Pickup</t>
  </si>
  <si>
    <t>Bedroom</t>
  </si>
  <si>
    <t>Nightstand</t>
  </si>
  <si>
    <t>Developers Collaborative</t>
  </si>
  <si>
    <t>Biddeford</t>
  </si>
  <si>
    <t/>
  </si>
  <si>
    <t>Cancelled</t>
  </si>
  <si>
    <t>Living Room</t>
  </si>
  <si>
    <t>TV Stand</t>
  </si>
  <si>
    <t>NewHeight Group</t>
  </si>
  <si>
    <t>Westbrook</t>
  </si>
  <si>
    <t>Sofa</t>
  </si>
  <si>
    <t>Shutterbugs 4 Charity</t>
  </si>
  <si>
    <t>Dining Chair</t>
  </si>
  <si>
    <t>Diversified</t>
  </si>
  <si>
    <t>Scarborough</t>
  </si>
  <si>
    <t>Jordan's Furniture</t>
  </si>
  <si>
    <t>Lamps</t>
  </si>
  <si>
    <t>Kitchen</t>
  </si>
  <si>
    <t>Dishes</t>
  </si>
  <si>
    <t>Maine Community Bank</t>
  </si>
  <si>
    <t>Office</t>
  </si>
  <si>
    <t>Desk</t>
  </si>
  <si>
    <t>EthosVont</t>
  </si>
  <si>
    <t>Rugs</t>
  </si>
  <si>
    <t>Westbrook Housing</t>
  </si>
  <si>
    <t>Small Appliances</t>
  </si>
  <si>
    <t>Spiritual Workers</t>
  </si>
  <si>
    <t>Pending</t>
  </si>
  <si>
    <t>Microwave</t>
  </si>
  <si>
    <t>Armchair</t>
  </si>
  <si>
    <t>GoGo Refill</t>
  </si>
  <si>
    <t>Office Chair</t>
  </si>
  <si>
    <t>Portland Mattress Makers</t>
  </si>
  <si>
    <t>Portland Harbor Group Raymond James</t>
  </si>
  <si>
    <t>Bed Frame</t>
  </si>
  <si>
    <t>Falmouth</t>
  </si>
  <si>
    <t>Dresser</t>
  </si>
  <si>
    <t>Systems Engineering</t>
  </si>
  <si>
    <t>Center for Real Estate Studies</t>
  </si>
  <si>
    <t>Coffee By Design</t>
  </si>
  <si>
    <t>Pots &amp; Pans</t>
  </si>
  <si>
    <t>Keybank</t>
  </si>
  <si>
    <t>J.B Brown and Sons</t>
  </si>
  <si>
    <t>Mattress</t>
  </si>
  <si>
    <t>Coffee Table</t>
  </si>
  <si>
    <t>Bookshelf</t>
  </si>
  <si>
    <t>ClientTypeID</t>
  </si>
  <si>
    <t>ClientTypeName</t>
  </si>
  <si>
    <t>Shelter</t>
  </si>
  <si>
    <t>Veteran</t>
  </si>
  <si>
    <t>Refugee / Immigrant</t>
  </si>
  <si>
    <t>Formerly Homeless</t>
  </si>
  <si>
    <t>Low-Income Family</t>
  </si>
  <si>
    <t>Other</t>
  </si>
  <si>
    <t>PartnerOrg</t>
  </si>
  <si>
    <t>PartnerType</t>
  </si>
  <si>
    <t>Town</t>
  </si>
  <si>
    <t>Region</t>
  </si>
  <si>
    <t>Housing Authority</t>
  </si>
  <si>
    <t>Southern ME</t>
  </si>
  <si>
    <t>Corporate Partner</t>
  </si>
  <si>
    <t>Corporate Donor</t>
  </si>
  <si>
    <t>Nonprofit</t>
  </si>
  <si>
    <t>Education / Research</t>
  </si>
  <si>
    <t>Manufacturer / Donor</t>
  </si>
  <si>
    <t>Small Business Partner</t>
  </si>
  <si>
    <t>Financial Institution</t>
  </si>
  <si>
    <t>Financial Services</t>
  </si>
  <si>
    <t>Faith-Based Organization</t>
  </si>
  <si>
    <t>Construction / Trades</t>
  </si>
  <si>
    <t>Technology / Corporate Partner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</si>
</sst>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2.13"/>
    <col customWidth="1" min="3" max="3" width="14.0"/>
    <col customWidth="1" min="4" max="4" width="15.5"/>
    <col customWidth="1" min="5" max="5" width="13.25"/>
    <col customWidth="1" min="6" max="6" width="17.0"/>
    <col customWidth="1" min="7" max="7" width="13.75"/>
    <col customWidth="1" min="8" max="8" width="7.88"/>
    <col customWidth="1" min="9" max="9" width="7.63"/>
    <col customWidth="1" min="10" max="10" width="30.88"/>
    <col customWidth="1" min="11" max="11" width="13.5"/>
    <col customWidth="1" min="12" max="12" width="12.0"/>
    <col customWidth="1" min="13" max="13" width="14.38"/>
    <col customWidth="1" min="14" max="14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45762.0</v>
      </c>
      <c r="C2" s="3">
        <v>45767.0</v>
      </c>
      <c r="D2" s="3" t="s">
        <v>14</v>
      </c>
      <c r="E2" s="2">
        <v>5.0</v>
      </c>
      <c r="F2" s="2" t="s">
        <v>15</v>
      </c>
      <c r="G2" s="2" t="s">
        <v>16</v>
      </c>
      <c r="H2" s="2">
        <v>4.0</v>
      </c>
      <c r="I2" s="2">
        <v>4.0</v>
      </c>
      <c r="J2" s="2" t="s">
        <v>17</v>
      </c>
      <c r="K2" s="2" t="s">
        <v>18</v>
      </c>
      <c r="L2" s="2">
        <v>1.0</v>
      </c>
      <c r="M2" s="2" t="s">
        <v>19</v>
      </c>
      <c r="N2" s="2">
        <v>5.0</v>
      </c>
    </row>
    <row r="3">
      <c r="A3" s="2">
        <v>2.0</v>
      </c>
      <c r="B3" s="3">
        <v>45353.0</v>
      </c>
      <c r="C3" s="3">
        <v>45355.0</v>
      </c>
      <c r="D3" s="3" t="s">
        <v>14</v>
      </c>
      <c r="E3" s="2">
        <v>2.0</v>
      </c>
      <c r="F3" s="2" t="s">
        <v>20</v>
      </c>
      <c r="G3" s="2" t="s">
        <v>21</v>
      </c>
      <c r="H3" s="2">
        <v>3.0</v>
      </c>
      <c r="I3" s="2">
        <v>3.0</v>
      </c>
      <c r="J3" s="2" t="s">
        <v>22</v>
      </c>
      <c r="K3" s="2" t="s">
        <v>23</v>
      </c>
      <c r="L3" s="2">
        <v>2.0</v>
      </c>
      <c r="M3" s="2" t="s">
        <v>24</v>
      </c>
      <c r="N3" s="2">
        <v>3.0</v>
      </c>
    </row>
    <row r="4">
      <c r="A4" s="2">
        <v>3.0</v>
      </c>
      <c r="B4" s="3">
        <v>45323.0</v>
      </c>
      <c r="C4" s="3">
        <v>45330.0</v>
      </c>
      <c r="D4" s="3" t="s">
        <v>14</v>
      </c>
      <c r="E4" s="2">
        <v>7.0</v>
      </c>
      <c r="F4" s="2" t="s">
        <v>25</v>
      </c>
      <c r="G4" s="2" t="s">
        <v>26</v>
      </c>
      <c r="H4" s="2">
        <v>4.0</v>
      </c>
      <c r="I4" s="2">
        <v>1.0</v>
      </c>
      <c r="J4" s="2" t="s">
        <v>27</v>
      </c>
      <c r="K4" s="2" t="s">
        <v>28</v>
      </c>
      <c r="L4" s="2">
        <v>4.0</v>
      </c>
      <c r="M4" s="2" t="s">
        <v>19</v>
      </c>
      <c r="N4" s="2">
        <v>6.0</v>
      </c>
    </row>
    <row r="5">
      <c r="A5" s="2">
        <v>4.0</v>
      </c>
      <c r="B5" s="3">
        <v>45786.0</v>
      </c>
      <c r="C5" s="3" t="s">
        <v>29</v>
      </c>
      <c r="D5" s="3" t="s">
        <v>30</v>
      </c>
      <c r="E5" s="2" t="s">
        <v>29</v>
      </c>
      <c r="F5" s="2" t="s">
        <v>31</v>
      </c>
      <c r="G5" s="2" t="s">
        <v>32</v>
      </c>
      <c r="H5" s="2">
        <v>1.0</v>
      </c>
      <c r="I5" s="2" t="s">
        <v>29</v>
      </c>
      <c r="J5" s="2" t="s">
        <v>33</v>
      </c>
      <c r="K5" s="2" t="s">
        <v>34</v>
      </c>
      <c r="L5" s="2">
        <v>4.0</v>
      </c>
      <c r="M5" s="2" t="s">
        <v>24</v>
      </c>
      <c r="N5" s="2">
        <v>1.0</v>
      </c>
    </row>
    <row r="6">
      <c r="A6" s="2">
        <v>5.0</v>
      </c>
      <c r="B6" s="3">
        <v>45701.0</v>
      </c>
      <c r="C6" s="3">
        <v>45705.0</v>
      </c>
      <c r="D6" s="3" t="s">
        <v>14</v>
      </c>
      <c r="E6" s="2">
        <v>4.0</v>
      </c>
      <c r="F6" s="2" t="s">
        <v>31</v>
      </c>
      <c r="G6" s="2" t="s">
        <v>35</v>
      </c>
      <c r="H6" s="2">
        <v>1.0</v>
      </c>
      <c r="I6" s="2">
        <v>1.0</v>
      </c>
      <c r="J6" s="2" t="s">
        <v>36</v>
      </c>
      <c r="K6" s="2" t="s">
        <v>28</v>
      </c>
      <c r="L6" s="2">
        <v>6.0</v>
      </c>
      <c r="M6" s="2" t="s">
        <v>19</v>
      </c>
      <c r="N6" s="2">
        <v>1.0</v>
      </c>
    </row>
    <row r="7">
      <c r="A7" s="2">
        <v>6.0</v>
      </c>
      <c r="B7" s="3">
        <v>45647.0</v>
      </c>
      <c r="C7" s="3" t="s">
        <v>29</v>
      </c>
      <c r="D7" s="3" t="s">
        <v>30</v>
      </c>
      <c r="E7" s="2" t="s">
        <v>29</v>
      </c>
      <c r="F7" s="2" t="s">
        <v>15</v>
      </c>
      <c r="G7" s="2" t="s">
        <v>37</v>
      </c>
      <c r="H7" s="2">
        <v>3.0</v>
      </c>
      <c r="I7" s="2" t="s">
        <v>29</v>
      </c>
      <c r="J7" s="2" t="s">
        <v>38</v>
      </c>
      <c r="K7" s="2" t="s">
        <v>39</v>
      </c>
      <c r="L7" s="2">
        <v>5.0</v>
      </c>
      <c r="M7" s="2" t="s">
        <v>24</v>
      </c>
      <c r="N7" s="2">
        <v>5.0</v>
      </c>
    </row>
    <row r="8">
      <c r="A8" s="2">
        <v>7.0</v>
      </c>
      <c r="B8" s="3">
        <v>45790.0</v>
      </c>
      <c r="C8" s="3">
        <v>45802.0</v>
      </c>
      <c r="D8" s="3" t="s">
        <v>14</v>
      </c>
      <c r="E8" s="2">
        <v>12.0</v>
      </c>
      <c r="F8" s="2" t="s">
        <v>15</v>
      </c>
      <c r="G8" s="2" t="s">
        <v>16</v>
      </c>
      <c r="H8" s="2">
        <v>2.0</v>
      </c>
      <c r="I8" s="2">
        <v>2.0</v>
      </c>
      <c r="J8" s="2" t="s">
        <v>40</v>
      </c>
      <c r="K8" s="2" t="s">
        <v>34</v>
      </c>
      <c r="L8" s="2">
        <v>6.0</v>
      </c>
      <c r="M8" s="2" t="s">
        <v>19</v>
      </c>
      <c r="N8" s="2">
        <v>6.0</v>
      </c>
    </row>
    <row r="9">
      <c r="A9" s="2">
        <v>8.0</v>
      </c>
      <c r="B9" s="3">
        <v>45372.0</v>
      </c>
      <c r="C9" s="3">
        <v>45412.0</v>
      </c>
      <c r="D9" s="3" t="s">
        <v>14</v>
      </c>
      <c r="E9" s="2">
        <v>40.0</v>
      </c>
      <c r="F9" s="2" t="s">
        <v>20</v>
      </c>
      <c r="G9" s="2" t="s">
        <v>41</v>
      </c>
      <c r="H9" s="2">
        <v>1.0</v>
      </c>
      <c r="I9" s="2">
        <v>1.0</v>
      </c>
      <c r="J9" s="2" t="s">
        <v>27</v>
      </c>
      <c r="K9" s="2" t="s">
        <v>18</v>
      </c>
      <c r="L9" s="2">
        <v>4.0</v>
      </c>
      <c r="M9" s="2" t="s">
        <v>19</v>
      </c>
      <c r="N9" s="2">
        <v>4.0</v>
      </c>
    </row>
    <row r="10">
      <c r="A10" s="2">
        <v>9.0</v>
      </c>
      <c r="B10" s="3">
        <v>45815.0</v>
      </c>
      <c r="C10" s="3">
        <v>45860.0</v>
      </c>
      <c r="D10" s="3" t="s">
        <v>14</v>
      </c>
      <c r="E10" s="2">
        <v>45.0</v>
      </c>
      <c r="F10" s="2" t="s">
        <v>42</v>
      </c>
      <c r="G10" s="2" t="s">
        <v>43</v>
      </c>
      <c r="H10" s="2">
        <v>4.0</v>
      </c>
      <c r="I10" s="2">
        <v>4.0</v>
      </c>
      <c r="J10" s="2" t="s">
        <v>44</v>
      </c>
      <c r="K10" s="2" t="s">
        <v>18</v>
      </c>
      <c r="L10" s="2">
        <v>4.0</v>
      </c>
      <c r="M10" s="2" t="s">
        <v>19</v>
      </c>
      <c r="N10" s="2">
        <v>1.0</v>
      </c>
    </row>
    <row r="11">
      <c r="A11" s="2">
        <v>10.0</v>
      </c>
      <c r="B11" s="3">
        <v>45812.0</v>
      </c>
      <c r="C11" s="3">
        <v>45822.0</v>
      </c>
      <c r="D11" s="3" t="s">
        <v>14</v>
      </c>
      <c r="E11" s="2">
        <v>10.0</v>
      </c>
      <c r="F11" s="2" t="s">
        <v>15</v>
      </c>
      <c r="G11" s="2" t="s">
        <v>37</v>
      </c>
      <c r="H11" s="2">
        <v>1.0</v>
      </c>
      <c r="I11" s="2">
        <v>1.0</v>
      </c>
      <c r="J11" s="2" t="s">
        <v>38</v>
      </c>
      <c r="K11" s="2" t="s">
        <v>39</v>
      </c>
      <c r="L11" s="2">
        <v>6.0</v>
      </c>
      <c r="M11" s="2" t="s">
        <v>19</v>
      </c>
      <c r="N11" s="2">
        <v>2.0</v>
      </c>
    </row>
    <row r="12">
      <c r="A12" s="2">
        <v>11.0</v>
      </c>
      <c r="B12" s="3">
        <v>45348.0</v>
      </c>
      <c r="C12" s="3">
        <v>45354.0</v>
      </c>
      <c r="D12" s="3" t="s">
        <v>14</v>
      </c>
      <c r="E12" s="2">
        <v>6.0</v>
      </c>
      <c r="F12" s="2" t="s">
        <v>31</v>
      </c>
      <c r="G12" s="2" t="s">
        <v>35</v>
      </c>
      <c r="H12" s="2">
        <v>4.0</v>
      </c>
      <c r="I12" s="2">
        <v>2.0</v>
      </c>
      <c r="J12" s="2" t="s">
        <v>22</v>
      </c>
      <c r="K12" s="2" t="s">
        <v>39</v>
      </c>
      <c r="L12" s="2">
        <v>1.0</v>
      </c>
      <c r="M12" s="2" t="s">
        <v>19</v>
      </c>
      <c r="N12" s="2">
        <v>1.0</v>
      </c>
    </row>
    <row r="13">
      <c r="A13" s="2">
        <v>12.0</v>
      </c>
      <c r="B13" s="3">
        <v>45676.0</v>
      </c>
      <c r="C13" s="3">
        <v>45682.0</v>
      </c>
      <c r="D13" s="3" t="s">
        <v>14</v>
      </c>
      <c r="E13" s="2">
        <v>6.0</v>
      </c>
      <c r="F13" s="2" t="s">
        <v>45</v>
      </c>
      <c r="G13" s="2" t="s">
        <v>46</v>
      </c>
      <c r="H13" s="2">
        <v>4.0</v>
      </c>
      <c r="I13" s="2">
        <v>3.0</v>
      </c>
      <c r="J13" s="2" t="s">
        <v>47</v>
      </c>
      <c r="K13" s="2" t="s">
        <v>18</v>
      </c>
      <c r="L13" s="2">
        <v>1.0</v>
      </c>
      <c r="M13" s="2" t="s">
        <v>19</v>
      </c>
      <c r="N13" s="2">
        <v>5.0</v>
      </c>
    </row>
    <row r="14">
      <c r="A14" s="2">
        <v>13.0</v>
      </c>
      <c r="B14" s="3">
        <v>45487.0</v>
      </c>
      <c r="C14" s="3" t="s">
        <v>29</v>
      </c>
      <c r="D14" s="3" t="s">
        <v>30</v>
      </c>
      <c r="E14" s="2" t="s">
        <v>29</v>
      </c>
      <c r="F14" s="2" t="s">
        <v>20</v>
      </c>
      <c r="G14" s="2" t="s">
        <v>48</v>
      </c>
      <c r="H14" s="2">
        <v>2.0</v>
      </c>
      <c r="I14" s="2" t="s">
        <v>29</v>
      </c>
      <c r="J14" s="2" t="s">
        <v>49</v>
      </c>
      <c r="K14" s="2" t="s">
        <v>39</v>
      </c>
      <c r="L14" s="2">
        <v>3.0</v>
      </c>
      <c r="M14" s="2" t="s">
        <v>19</v>
      </c>
      <c r="N14" s="2">
        <v>2.0</v>
      </c>
    </row>
    <row r="15">
      <c r="A15" s="2">
        <v>14.0</v>
      </c>
      <c r="B15" s="3">
        <v>45307.0</v>
      </c>
      <c r="C15" s="3">
        <v>45321.0</v>
      </c>
      <c r="D15" s="3" t="s">
        <v>14</v>
      </c>
      <c r="E15" s="2">
        <v>14.0</v>
      </c>
      <c r="F15" s="2" t="s">
        <v>42</v>
      </c>
      <c r="G15" s="2" t="s">
        <v>50</v>
      </c>
      <c r="H15" s="2">
        <v>3.0</v>
      </c>
      <c r="I15" s="2">
        <v>2.0</v>
      </c>
      <c r="J15" s="2" t="s">
        <v>22</v>
      </c>
      <c r="K15" s="2" t="s">
        <v>23</v>
      </c>
      <c r="L15" s="2">
        <v>1.0</v>
      </c>
      <c r="M15" s="2" t="s">
        <v>19</v>
      </c>
      <c r="N15" s="2">
        <v>3.0</v>
      </c>
    </row>
    <row r="16">
      <c r="A16" s="2">
        <v>15.0</v>
      </c>
      <c r="B16" s="3">
        <v>45324.0</v>
      </c>
      <c r="C16" s="3">
        <v>45335.0</v>
      </c>
      <c r="D16" s="3" t="s">
        <v>14</v>
      </c>
      <c r="E16" s="2">
        <v>11.0</v>
      </c>
      <c r="F16" s="2" t="s">
        <v>15</v>
      </c>
      <c r="G16" s="2" t="s">
        <v>16</v>
      </c>
      <c r="H16" s="2">
        <v>1.0</v>
      </c>
      <c r="I16" s="2">
        <v>1.0</v>
      </c>
      <c r="J16" s="2" t="s">
        <v>51</v>
      </c>
      <c r="K16" s="2" t="s">
        <v>28</v>
      </c>
      <c r="L16" s="2">
        <v>1.0</v>
      </c>
      <c r="M16" s="2" t="s">
        <v>24</v>
      </c>
      <c r="N16" s="2">
        <v>4.0</v>
      </c>
    </row>
    <row r="17">
      <c r="A17" s="2">
        <v>16.0</v>
      </c>
      <c r="B17" s="3">
        <v>45577.0</v>
      </c>
      <c r="C17" s="3">
        <v>45579.0</v>
      </c>
      <c r="D17" s="3" t="s">
        <v>14</v>
      </c>
      <c r="E17" s="2">
        <v>2.0</v>
      </c>
      <c r="F17" s="2" t="s">
        <v>20</v>
      </c>
      <c r="G17" s="2" t="s">
        <v>21</v>
      </c>
      <c r="H17" s="2">
        <v>1.0</v>
      </c>
      <c r="I17" s="2">
        <v>1.0</v>
      </c>
      <c r="J17" s="2" t="s">
        <v>44</v>
      </c>
      <c r="K17" s="2" t="s">
        <v>23</v>
      </c>
      <c r="L17" s="2">
        <v>2.0</v>
      </c>
      <c r="M17" s="2" t="s">
        <v>19</v>
      </c>
      <c r="N17" s="2">
        <v>5.0</v>
      </c>
    </row>
    <row r="18">
      <c r="A18" s="2">
        <v>17.0</v>
      </c>
      <c r="B18" s="3">
        <v>45429.0</v>
      </c>
      <c r="C18" s="3" t="s">
        <v>29</v>
      </c>
      <c r="D18" s="3" t="s">
        <v>52</v>
      </c>
      <c r="E18" s="2" t="s">
        <v>29</v>
      </c>
      <c r="F18" s="2" t="s">
        <v>42</v>
      </c>
      <c r="G18" s="2" t="s">
        <v>43</v>
      </c>
      <c r="H18" s="2">
        <v>4.0</v>
      </c>
      <c r="I18" s="2" t="s">
        <v>29</v>
      </c>
      <c r="J18" s="2" t="s">
        <v>47</v>
      </c>
      <c r="K18" s="2" t="s">
        <v>34</v>
      </c>
      <c r="L18" s="2">
        <v>1.0</v>
      </c>
      <c r="M18" s="2" t="s">
        <v>24</v>
      </c>
      <c r="N18" s="2">
        <v>3.0</v>
      </c>
    </row>
    <row r="19">
      <c r="A19" s="2">
        <v>18.0</v>
      </c>
      <c r="B19" s="3">
        <v>45686.0</v>
      </c>
      <c r="C19" s="3" t="s">
        <v>29</v>
      </c>
      <c r="D19" s="3" t="s">
        <v>52</v>
      </c>
      <c r="E19" s="2" t="s">
        <v>29</v>
      </c>
      <c r="F19" s="2" t="s">
        <v>20</v>
      </c>
      <c r="G19" s="2" t="s">
        <v>21</v>
      </c>
      <c r="H19" s="2">
        <v>1.0</v>
      </c>
      <c r="I19" s="2" t="s">
        <v>29</v>
      </c>
      <c r="J19" s="2" t="s">
        <v>38</v>
      </c>
      <c r="K19" s="2" t="s">
        <v>34</v>
      </c>
      <c r="L19" s="2">
        <v>1.0</v>
      </c>
      <c r="M19" s="2" t="s">
        <v>24</v>
      </c>
      <c r="N19" s="2">
        <v>6.0</v>
      </c>
    </row>
    <row r="20">
      <c r="A20" s="2">
        <v>19.0</v>
      </c>
      <c r="B20" s="3">
        <v>45605.0</v>
      </c>
      <c r="C20" s="3">
        <v>45612.0</v>
      </c>
      <c r="D20" s="3" t="s">
        <v>14</v>
      </c>
      <c r="E20" s="2">
        <v>7.0</v>
      </c>
      <c r="F20" s="2" t="s">
        <v>42</v>
      </c>
      <c r="G20" s="2" t="s">
        <v>53</v>
      </c>
      <c r="H20" s="2">
        <v>2.0</v>
      </c>
      <c r="I20" s="2">
        <v>2.0</v>
      </c>
      <c r="J20" s="2" t="s">
        <v>47</v>
      </c>
      <c r="K20" s="2" t="s">
        <v>34</v>
      </c>
      <c r="L20" s="2">
        <v>2.0</v>
      </c>
      <c r="M20" s="2" t="s">
        <v>24</v>
      </c>
      <c r="N20" s="2">
        <v>1.0</v>
      </c>
    </row>
    <row r="21">
      <c r="A21" s="2">
        <v>20.0</v>
      </c>
      <c r="B21" s="3">
        <v>45679.0</v>
      </c>
      <c r="C21" s="3">
        <v>45693.0</v>
      </c>
      <c r="D21" s="3" t="s">
        <v>14</v>
      </c>
      <c r="E21" s="2">
        <v>14.0</v>
      </c>
      <c r="F21" s="2" t="s">
        <v>31</v>
      </c>
      <c r="G21" s="2" t="s">
        <v>54</v>
      </c>
      <c r="H21" s="2">
        <v>2.0</v>
      </c>
      <c r="I21" s="2">
        <v>2.0</v>
      </c>
      <c r="J21" s="2" t="s">
        <v>55</v>
      </c>
      <c r="K21" s="2" t="s">
        <v>28</v>
      </c>
      <c r="L21" s="2">
        <v>4.0</v>
      </c>
      <c r="M21" s="2" t="s">
        <v>19</v>
      </c>
      <c r="N21" s="2">
        <v>2.0</v>
      </c>
    </row>
    <row r="22">
      <c r="A22" s="2">
        <v>21.0</v>
      </c>
      <c r="B22" s="3">
        <v>45725.0</v>
      </c>
      <c r="C22" s="3">
        <v>45728.0</v>
      </c>
      <c r="D22" s="3" t="s">
        <v>14</v>
      </c>
      <c r="E22" s="2">
        <v>3.0</v>
      </c>
      <c r="F22" s="2" t="s">
        <v>45</v>
      </c>
      <c r="G22" s="2" t="s">
        <v>56</v>
      </c>
      <c r="H22" s="2">
        <v>3.0</v>
      </c>
      <c r="I22" s="2">
        <v>1.0</v>
      </c>
      <c r="J22" s="2" t="s">
        <v>51</v>
      </c>
      <c r="K22" s="2" t="s">
        <v>28</v>
      </c>
      <c r="L22" s="2">
        <v>5.0</v>
      </c>
      <c r="M22" s="2" t="s">
        <v>19</v>
      </c>
      <c r="N22" s="2">
        <v>2.0</v>
      </c>
    </row>
    <row r="23">
      <c r="A23" s="2">
        <v>22.0</v>
      </c>
      <c r="B23" s="3">
        <v>45490.0</v>
      </c>
      <c r="C23" s="3">
        <v>45496.0</v>
      </c>
      <c r="D23" s="3" t="s">
        <v>14</v>
      </c>
      <c r="E23" s="2">
        <v>6.0</v>
      </c>
      <c r="F23" s="2" t="s">
        <v>20</v>
      </c>
      <c r="G23" s="2" t="s">
        <v>21</v>
      </c>
      <c r="H23" s="2">
        <v>4.0</v>
      </c>
      <c r="I23" s="2">
        <v>2.0</v>
      </c>
      <c r="J23" s="2" t="s">
        <v>47</v>
      </c>
      <c r="K23" s="2" t="s">
        <v>28</v>
      </c>
      <c r="L23" s="2">
        <v>2.0</v>
      </c>
      <c r="M23" s="2" t="s">
        <v>19</v>
      </c>
      <c r="N23" s="2">
        <v>2.0</v>
      </c>
    </row>
    <row r="24">
      <c r="A24" s="2">
        <v>23.0</v>
      </c>
      <c r="B24" s="3">
        <v>45391.0</v>
      </c>
      <c r="C24" s="3">
        <v>45392.0</v>
      </c>
      <c r="D24" s="3" t="s">
        <v>14</v>
      </c>
      <c r="E24" s="2">
        <v>1.0</v>
      </c>
      <c r="F24" s="2" t="s">
        <v>31</v>
      </c>
      <c r="G24" s="2" t="s">
        <v>54</v>
      </c>
      <c r="H24" s="2">
        <v>4.0</v>
      </c>
      <c r="I24" s="2">
        <v>2.0</v>
      </c>
      <c r="J24" s="2" t="s">
        <v>38</v>
      </c>
      <c r="K24" s="2" t="s">
        <v>28</v>
      </c>
      <c r="L24" s="2">
        <v>4.0</v>
      </c>
      <c r="M24" s="2" t="s">
        <v>24</v>
      </c>
      <c r="N24" s="2">
        <v>6.0</v>
      </c>
    </row>
    <row r="25">
      <c r="A25" s="2">
        <v>24.0</v>
      </c>
      <c r="B25" s="3">
        <v>45734.0</v>
      </c>
      <c r="C25" s="3">
        <v>45777.0</v>
      </c>
      <c r="D25" s="3" t="s">
        <v>14</v>
      </c>
      <c r="E25" s="2">
        <v>43.0</v>
      </c>
      <c r="F25" s="2" t="s">
        <v>31</v>
      </c>
      <c r="G25" s="2" t="s">
        <v>54</v>
      </c>
      <c r="H25" s="2">
        <v>4.0</v>
      </c>
      <c r="I25" s="2">
        <v>2.0</v>
      </c>
      <c r="J25" s="2" t="s">
        <v>57</v>
      </c>
      <c r="K25" s="2" t="s">
        <v>34</v>
      </c>
      <c r="L25" s="2">
        <v>4.0</v>
      </c>
      <c r="M25" s="2" t="s">
        <v>19</v>
      </c>
      <c r="N25" s="2">
        <v>2.0</v>
      </c>
    </row>
    <row r="26">
      <c r="A26" s="2">
        <v>25.0</v>
      </c>
      <c r="B26" s="3">
        <v>45368.0</v>
      </c>
      <c r="C26" s="3">
        <v>45373.0</v>
      </c>
      <c r="D26" s="3" t="s">
        <v>14</v>
      </c>
      <c r="E26" s="2">
        <v>5.0</v>
      </c>
      <c r="F26" s="2" t="s">
        <v>20</v>
      </c>
      <c r="G26" s="2" t="s">
        <v>21</v>
      </c>
      <c r="H26" s="2">
        <v>4.0</v>
      </c>
      <c r="I26" s="2">
        <v>1.0</v>
      </c>
      <c r="J26" s="2" t="s">
        <v>49</v>
      </c>
      <c r="K26" s="2" t="s">
        <v>23</v>
      </c>
      <c r="L26" s="2">
        <v>6.0</v>
      </c>
      <c r="M26" s="2" t="s">
        <v>19</v>
      </c>
      <c r="N26" s="2">
        <v>3.0</v>
      </c>
    </row>
    <row r="27">
      <c r="A27" s="2">
        <v>26.0</v>
      </c>
      <c r="B27" s="3">
        <v>45501.0</v>
      </c>
      <c r="C27" s="3">
        <v>45527.0</v>
      </c>
      <c r="D27" s="3" t="s">
        <v>14</v>
      </c>
      <c r="E27" s="2">
        <v>26.0</v>
      </c>
      <c r="F27" s="2" t="s">
        <v>45</v>
      </c>
      <c r="G27" s="2" t="s">
        <v>56</v>
      </c>
      <c r="H27" s="2">
        <v>1.0</v>
      </c>
      <c r="I27" s="2">
        <v>1.0</v>
      </c>
      <c r="J27" s="2" t="s">
        <v>58</v>
      </c>
      <c r="K27" s="2" t="s">
        <v>39</v>
      </c>
      <c r="L27" s="2">
        <v>6.0</v>
      </c>
      <c r="M27" s="2" t="s">
        <v>19</v>
      </c>
      <c r="N27" s="2">
        <v>1.0</v>
      </c>
    </row>
    <row r="28">
      <c r="A28" s="2">
        <v>27.0</v>
      </c>
      <c r="B28" s="3">
        <v>45495.0</v>
      </c>
      <c r="C28" s="3">
        <v>45523.0</v>
      </c>
      <c r="D28" s="3" t="s">
        <v>14</v>
      </c>
      <c r="E28" s="2">
        <v>28.0</v>
      </c>
      <c r="F28" s="2" t="s">
        <v>15</v>
      </c>
      <c r="G28" s="2" t="s">
        <v>37</v>
      </c>
      <c r="H28" s="2">
        <v>3.0</v>
      </c>
      <c r="I28" s="2">
        <v>1.0</v>
      </c>
      <c r="J28" s="2" t="s">
        <v>49</v>
      </c>
      <c r="K28" s="2" t="s">
        <v>39</v>
      </c>
      <c r="L28" s="2">
        <v>1.0</v>
      </c>
      <c r="M28" s="2" t="s">
        <v>24</v>
      </c>
      <c r="N28" s="2">
        <v>4.0</v>
      </c>
    </row>
    <row r="29">
      <c r="A29" s="2">
        <v>28.0</v>
      </c>
      <c r="B29" s="3">
        <v>45397.0</v>
      </c>
      <c r="C29" s="3">
        <v>45404.0</v>
      </c>
      <c r="D29" s="3" t="s">
        <v>14</v>
      </c>
      <c r="E29" s="2">
        <v>7.0</v>
      </c>
      <c r="F29" s="2" t="s">
        <v>25</v>
      </c>
      <c r="G29" s="2" t="s">
        <v>59</v>
      </c>
      <c r="H29" s="2">
        <v>1.0</v>
      </c>
      <c r="I29" s="2">
        <v>1.0</v>
      </c>
      <c r="J29" s="2" t="s">
        <v>36</v>
      </c>
      <c r="K29" s="2" t="s">
        <v>28</v>
      </c>
      <c r="L29" s="2">
        <v>4.0</v>
      </c>
      <c r="M29" s="2" t="s">
        <v>24</v>
      </c>
      <c r="N29" s="2">
        <v>1.0</v>
      </c>
    </row>
    <row r="30">
      <c r="A30" s="2">
        <v>29.0</v>
      </c>
      <c r="B30" s="3">
        <v>45829.0</v>
      </c>
      <c r="C30" s="3">
        <v>45843.0</v>
      </c>
      <c r="D30" s="3" t="s">
        <v>14</v>
      </c>
      <c r="E30" s="2">
        <v>14.0</v>
      </c>
      <c r="F30" s="2" t="s">
        <v>20</v>
      </c>
      <c r="G30" s="2" t="s">
        <v>41</v>
      </c>
      <c r="H30" s="2">
        <v>1.0</v>
      </c>
      <c r="I30" s="2">
        <v>1.0</v>
      </c>
      <c r="J30" s="2" t="s">
        <v>33</v>
      </c>
      <c r="K30" s="2" t="s">
        <v>18</v>
      </c>
      <c r="L30" s="2">
        <v>3.0</v>
      </c>
      <c r="M30" s="2" t="s">
        <v>24</v>
      </c>
      <c r="N30" s="2">
        <v>6.0</v>
      </c>
    </row>
    <row r="31">
      <c r="A31" s="2">
        <v>30.0</v>
      </c>
      <c r="B31" s="3">
        <v>45755.0</v>
      </c>
      <c r="C31" s="3">
        <v>45767.0</v>
      </c>
      <c r="D31" s="3" t="s">
        <v>14</v>
      </c>
      <c r="E31" s="2">
        <v>12.0</v>
      </c>
      <c r="F31" s="2" t="s">
        <v>25</v>
      </c>
      <c r="G31" s="2" t="s">
        <v>59</v>
      </c>
      <c r="H31" s="2">
        <v>3.0</v>
      </c>
      <c r="I31" s="2">
        <v>3.0</v>
      </c>
      <c r="J31" s="2" t="s">
        <v>51</v>
      </c>
      <c r="K31" s="2" t="s">
        <v>60</v>
      </c>
      <c r="L31" s="2">
        <v>4.0</v>
      </c>
      <c r="M31" s="2" t="s">
        <v>24</v>
      </c>
      <c r="N31" s="2">
        <v>1.0</v>
      </c>
    </row>
    <row r="32">
      <c r="A32" s="2">
        <v>31.0</v>
      </c>
      <c r="B32" s="3">
        <v>45813.0</v>
      </c>
      <c r="C32" s="3">
        <v>45818.0</v>
      </c>
      <c r="D32" s="3" t="s">
        <v>14</v>
      </c>
      <c r="E32" s="2">
        <v>5.0</v>
      </c>
      <c r="F32" s="2" t="s">
        <v>25</v>
      </c>
      <c r="G32" s="2" t="s">
        <v>61</v>
      </c>
      <c r="H32" s="2">
        <v>3.0</v>
      </c>
      <c r="I32" s="2">
        <v>2.0</v>
      </c>
      <c r="J32" s="2" t="s">
        <v>58</v>
      </c>
      <c r="K32" s="2" t="s">
        <v>18</v>
      </c>
      <c r="L32" s="2">
        <v>2.0</v>
      </c>
      <c r="M32" s="2" t="s">
        <v>24</v>
      </c>
      <c r="N32" s="2">
        <v>6.0</v>
      </c>
    </row>
    <row r="33">
      <c r="A33" s="2">
        <v>32.0</v>
      </c>
      <c r="B33" s="3">
        <v>45393.0</v>
      </c>
      <c r="C33" s="3" t="s">
        <v>29</v>
      </c>
      <c r="D33" s="3" t="s">
        <v>52</v>
      </c>
      <c r="E33" s="2" t="s">
        <v>29</v>
      </c>
      <c r="F33" s="2" t="s">
        <v>25</v>
      </c>
      <c r="G33" s="2" t="s">
        <v>26</v>
      </c>
      <c r="H33" s="2">
        <v>1.0</v>
      </c>
      <c r="I33" s="2" t="s">
        <v>29</v>
      </c>
      <c r="J33" s="2" t="s">
        <v>62</v>
      </c>
      <c r="K33" s="2" t="s">
        <v>18</v>
      </c>
      <c r="L33" s="2">
        <v>5.0</v>
      </c>
      <c r="M33" s="2" t="s">
        <v>19</v>
      </c>
      <c r="N33" s="2">
        <v>3.0</v>
      </c>
    </row>
    <row r="34">
      <c r="A34" s="2">
        <v>33.0</v>
      </c>
      <c r="B34" s="3">
        <v>45347.0</v>
      </c>
      <c r="C34" s="3">
        <v>45349.0</v>
      </c>
      <c r="D34" s="3" t="s">
        <v>14</v>
      </c>
      <c r="E34" s="2">
        <v>2.0</v>
      </c>
      <c r="F34" s="2" t="s">
        <v>20</v>
      </c>
      <c r="G34" s="2" t="s">
        <v>48</v>
      </c>
      <c r="H34" s="2">
        <v>3.0</v>
      </c>
      <c r="I34" s="2">
        <v>1.0</v>
      </c>
      <c r="J34" s="2" t="s">
        <v>47</v>
      </c>
      <c r="K34" s="2" t="s">
        <v>34</v>
      </c>
      <c r="L34" s="2">
        <v>6.0</v>
      </c>
      <c r="M34" s="2" t="s">
        <v>19</v>
      </c>
      <c r="N34" s="2">
        <v>4.0</v>
      </c>
    </row>
    <row r="35">
      <c r="A35" s="2">
        <v>34.0</v>
      </c>
      <c r="B35" s="3">
        <v>45762.0</v>
      </c>
      <c r="C35" s="3">
        <v>45783.0</v>
      </c>
      <c r="D35" s="3" t="s">
        <v>14</v>
      </c>
      <c r="E35" s="2">
        <v>21.0</v>
      </c>
      <c r="F35" s="2" t="s">
        <v>45</v>
      </c>
      <c r="G35" s="2" t="s">
        <v>46</v>
      </c>
      <c r="H35" s="2">
        <v>3.0</v>
      </c>
      <c r="I35" s="2">
        <v>3.0</v>
      </c>
      <c r="J35" s="2" t="s">
        <v>63</v>
      </c>
      <c r="K35" s="2" t="s">
        <v>18</v>
      </c>
      <c r="L35" s="2">
        <v>6.0</v>
      </c>
      <c r="M35" s="2" t="s">
        <v>19</v>
      </c>
      <c r="N35" s="2">
        <v>3.0</v>
      </c>
    </row>
    <row r="36">
      <c r="A36" s="2">
        <v>35.0</v>
      </c>
      <c r="B36" s="3">
        <v>45814.0</v>
      </c>
      <c r="C36" s="3">
        <v>45838.0</v>
      </c>
      <c r="D36" s="3" t="s">
        <v>14</v>
      </c>
      <c r="E36" s="2">
        <v>24.0</v>
      </c>
      <c r="F36" s="2" t="s">
        <v>45</v>
      </c>
      <c r="G36" s="2" t="s">
        <v>56</v>
      </c>
      <c r="H36" s="2">
        <v>3.0</v>
      </c>
      <c r="I36" s="2">
        <v>1.0</v>
      </c>
      <c r="J36" s="2" t="s">
        <v>22</v>
      </c>
      <c r="K36" s="2" t="s">
        <v>28</v>
      </c>
      <c r="L36" s="2">
        <v>6.0</v>
      </c>
      <c r="M36" s="2" t="s">
        <v>19</v>
      </c>
      <c r="N36" s="2">
        <v>5.0</v>
      </c>
    </row>
    <row r="37">
      <c r="A37" s="2">
        <v>36.0</v>
      </c>
      <c r="B37" s="3">
        <v>45527.0</v>
      </c>
      <c r="C37" s="3" t="s">
        <v>29</v>
      </c>
      <c r="D37" s="3" t="s">
        <v>30</v>
      </c>
      <c r="E37" s="2" t="s">
        <v>29</v>
      </c>
      <c r="F37" s="2" t="s">
        <v>20</v>
      </c>
      <c r="G37" s="2" t="s">
        <v>48</v>
      </c>
      <c r="H37" s="2">
        <v>1.0</v>
      </c>
      <c r="I37" s="2" t="s">
        <v>29</v>
      </c>
      <c r="J37" s="2" t="s">
        <v>62</v>
      </c>
      <c r="K37" s="2" t="s">
        <v>34</v>
      </c>
      <c r="L37" s="2">
        <v>3.0</v>
      </c>
      <c r="M37" s="2" t="s">
        <v>19</v>
      </c>
      <c r="N37" s="2">
        <v>4.0</v>
      </c>
    </row>
    <row r="38">
      <c r="A38" s="2">
        <v>37.0</v>
      </c>
      <c r="B38" s="3">
        <v>45426.0</v>
      </c>
      <c r="C38" s="3">
        <v>45429.0</v>
      </c>
      <c r="D38" s="3" t="s">
        <v>14</v>
      </c>
      <c r="E38" s="2">
        <v>3.0</v>
      </c>
      <c r="F38" s="2" t="s">
        <v>15</v>
      </c>
      <c r="G38" s="2" t="s">
        <v>16</v>
      </c>
      <c r="H38" s="2">
        <v>4.0</v>
      </c>
      <c r="I38" s="2">
        <v>1.0</v>
      </c>
      <c r="J38" s="2" t="s">
        <v>64</v>
      </c>
      <c r="K38" s="2" t="s">
        <v>60</v>
      </c>
      <c r="L38" s="2">
        <v>5.0</v>
      </c>
      <c r="M38" s="2" t="s">
        <v>24</v>
      </c>
      <c r="N38" s="2">
        <v>5.0</v>
      </c>
    </row>
    <row r="39">
      <c r="A39" s="2">
        <v>38.0</v>
      </c>
      <c r="B39" s="3">
        <v>45493.0</v>
      </c>
      <c r="C39" s="3">
        <v>45500.0</v>
      </c>
      <c r="D39" s="3" t="s">
        <v>14</v>
      </c>
      <c r="E39" s="2">
        <v>7.0</v>
      </c>
      <c r="F39" s="2" t="s">
        <v>42</v>
      </c>
      <c r="G39" s="2" t="s">
        <v>43</v>
      </c>
      <c r="H39" s="2">
        <v>1.0</v>
      </c>
      <c r="I39" s="2">
        <v>1.0</v>
      </c>
      <c r="J39" s="2" t="s">
        <v>33</v>
      </c>
      <c r="K39" s="2" t="s">
        <v>18</v>
      </c>
      <c r="L39" s="2">
        <v>1.0</v>
      </c>
      <c r="M39" s="2" t="s">
        <v>19</v>
      </c>
      <c r="N39" s="2">
        <v>6.0</v>
      </c>
    </row>
    <row r="40">
      <c r="A40" s="2">
        <v>39.0</v>
      </c>
      <c r="B40" s="3">
        <v>45340.0</v>
      </c>
      <c r="C40" s="3">
        <v>45346.0</v>
      </c>
      <c r="D40" s="3" t="s">
        <v>14</v>
      </c>
      <c r="E40" s="2">
        <v>6.0</v>
      </c>
      <c r="F40" s="2" t="s">
        <v>31</v>
      </c>
      <c r="G40" s="2" t="s">
        <v>35</v>
      </c>
      <c r="H40" s="2">
        <v>2.0</v>
      </c>
      <c r="I40" s="2">
        <v>2.0</v>
      </c>
      <c r="J40" s="2" t="s">
        <v>38</v>
      </c>
      <c r="K40" s="2" t="s">
        <v>34</v>
      </c>
      <c r="L40" s="2">
        <v>4.0</v>
      </c>
      <c r="M40" s="2" t="s">
        <v>24</v>
      </c>
      <c r="N40" s="2">
        <v>2.0</v>
      </c>
    </row>
    <row r="41">
      <c r="A41" s="2">
        <v>40.0</v>
      </c>
      <c r="B41" s="3">
        <v>45747.0</v>
      </c>
      <c r="C41" s="3" t="s">
        <v>29</v>
      </c>
      <c r="D41" s="3" t="s">
        <v>52</v>
      </c>
      <c r="E41" s="2" t="s">
        <v>29</v>
      </c>
      <c r="F41" s="2" t="s">
        <v>42</v>
      </c>
      <c r="G41" s="2" t="s">
        <v>53</v>
      </c>
      <c r="H41" s="2">
        <v>2.0</v>
      </c>
      <c r="I41" s="2" t="s">
        <v>29</v>
      </c>
      <c r="J41" s="2" t="s">
        <v>58</v>
      </c>
      <c r="K41" s="2" t="s">
        <v>23</v>
      </c>
      <c r="L41" s="2">
        <v>5.0</v>
      </c>
      <c r="M41" s="2" t="s">
        <v>19</v>
      </c>
      <c r="N41" s="2">
        <v>3.0</v>
      </c>
    </row>
    <row r="42">
      <c r="A42" s="2">
        <v>41.0</v>
      </c>
      <c r="B42" s="3">
        <v>45444.0</v>
      </c>
      <c r="C42" s="3" t="s">
        <v>29</v>
      </c>
      <c r="D42" s="3" t="s">
        <v>52</v>
      </c>
      <c r="E42" s="2" t="s">
        <v>29</v>
      </c>
      <c r="F42" s="2" t="s">
        <v>42</v>
      </c>
      <c r="G42" s="2" t="s">
        <v>65</v>
      </c>
      <c r="H42" s="2">
        <v>4.0</v>
      </c>
      <c r="I42" s="2" t="s">
        <v>29</v>
      </c>
      <c r="J42" s="2" t="s">
        <v>27</v>
      </c>
      <c r="K42" s="2" t="s">
        <v>28</v>
      </c>
      <c r="L42" s="2">
        <v>4.0</v>
      </c>
      <c r="M42" s="2" t="s">
        <v>24</v>
      </c>
      <c r="N42" s="2">
        <v>2.0</v>
      </c>
    </row>
    <row r="43">
      <c r="A43" s="2">
        <v>42.0</v>
      </c>
      <c r="B43" s="3">
        <v>45802.0</v>
      </c>
      <c r="C43" s="3">
        <v>45812.0</v>
      </c>
      <c r="D43" s="3" t="s">
        <v>14</v>
      </c>
      <c r="E43" s="2">
        <v>10.0</v>
      </c>
      <c r="F43" s="2" t="s">
        <v>45</v>
      </c>
      <c r="G43" s="2" t="s">
        <v>56</v>
      </c>
      <c r="H43" s="2">
        <v>2.0</v>
      </c>
      <c r="I43" s="2">
        <v>2.0</v>
      </c>
      <c r="J43" s="2" t="s">
        <v>62</v>
      </c>
      <c r="K43" s="2" t="s">
        <v>28</v>
      </c>
      <c r="L43" s="2">
        <v>1.0</v>
      </c>
      <c r="M43" s="2" t="s">
        <v>19</v>
      </c>
      <c r="N43" s="2">
        <v>5.0</v>
      </c>
    </row>
    <row r="44">
      <c r="A44" s="2">
        <v>43.0</v>
      </c>
      <c r="B44" s="3">
        <v>45381.0</v>
      </c>
      <c r="C44" s="3">
        <v>45383.0</v>
      </c>
      <c r="D44" s="3" t="s">
        <v>14</v>
      </c>
      <c r="E44" s="2">
        <v>2.0</v>
      </c>
      <c r="F44" s="2" t="s">
        <v>25</v>
      </c>
      <c r="G44" s="2" t="s">
        <v>61</v>
      </c>
      <c r="H44" s="2">
        <v>4.0</v>
      </c>
      <c r="I44" s="2">
        <v>3.0</v>
      </c>
      <c r="J44" s="2" t="s">
        <v>49</v>
      </c>
      <c r="K44" s="2" t="s">
        <v>39</v>
      </c>
      <c r="L44" s="2">
        <v>5.0</v>
      </c>
      <c r="M44" s="2" t="s">
        <v>24</v>
      </c>
      <c r="N44" s="2">
        <v>4.0</v>
      </c>
    </row>
    <row r="45">
      <c r="A45" s="2">
        <v>44.0</v>
      </c>
      <c r="B45" s="3">
        <v>45326.0</v>
      </c>
      <c r="C45" s="3">
        <v>45329.0</v>
      </c>
      <c r="D45" s="3" t="s">
        <v>14</v>
      </c>
      <c r="E45" s="2">
        <v>3.0</v>
      </c>
      <c r="F45" s="2" t="s">
        <v>20</v>
      </c>
      <c r="G45" s="2" t="s">
        <v>41</v>
      </c>
      <c r="H45" s="2">
        <v>4.0</v>
      </c>
      <c r="I45" s="2">
        <v>2.0</v>
      </c>
      <c r="J45" s="2" t="s">
        <v>36</v>
      </c>
      <c r="K45" s="2" t="s">
        <v>18</v>
      </c>
      <c r="L45" s="2">
        <v>1.0</v>
      </c>
      <c r="M45" s="2" t="s">
        <v>24</v>
      </c>
      <c r="N45" s="2">
        <v>5.0</v>
      </c>
    </row>
    <row r="46">
      <c r="A46" s="2">
        <v>45.0</v>
      </c>
      <c r="B46" s="3">
        <v>45322.0</v>
      </c>
      <c r="C46" s="3">
        <v>45333.0</v>
      </c>
      <c r="D46" s="3" t="s">
        <v>14</v>
      </c>
      <c r="E46" s="2">
        <v>11.0</v>
      </c>
      <c r="F46" s="2" t="s">
        <v>15</v>
      </c>
      <c r="G46" s="2" t="s">
        <v>37</v>
      </c>
      <c r="H46" s="2">
        <v>2.0</v>
      </c>
      <c r="I46" s="2">
        <v>1.0</v>
      </c>
      <c r="J46" s="2" t="s">
        <v>36</v>
      </c>
      <c r="K46" s="2" t="s">
        <v>23</v>
      </c>
      <c r="L46" s="2">
        <v>6.0</v>
      </c>
      <c r="M46" s="2" t="s">
        <v>19</v>
      </c>
      <c r="N46" s="2">
        <v>3.0</v>
      </c>
    </row>
    <row r="47">
      <c r="A47" s="2">
        <v>46.0</v>
      </c>
      <c r="B47" s="3">
        <v>45303.0</v>
      </c>
      <c r="C47" s="3" t="s">
        <v>29</v>
      </c>
      <c r="D47" s="3" t="s">
        <v>30</v>
      </c>
      <c r="E47" s="2" t="s">
        <v>29</v>
      </c>
      <c r="F47" s="2" t="s">
        <v>25</v>
      </c>
      <c r="G47" s="2" t="s">
        <v>61</v>
      </c>
      <c r="H47" s="2">
        <v>2.0</v>
      </c>
      <c r="I47" s="2" t="s">
        <v>29</v>
      </c>
      <c r="J47" s="2" t="s">
        <v>22</v>
      </c>
      <c r="K47" s="2" t="s">
        <v>34</v>
      </c>
      <c r="L47" s="2">
        <v>6.0</v>
      </c>
      <c r="M47" s="2" t="s">
        <v>24</v>
      </c>
      <c r="N47" s="2">
        <v>1.0</v>
      </c>
    </row>
    <row r="48">
      <c r="A48" s="2">
        <v>47.0</v>
      </c>
      <c r="B48" s="3">
        <v>45538.0</v>
      </c>
      <c r="C48" s="3">
        <v>45543.0</v>
      </c>
      <c r="D48" s="3" t="s">
        <v>14</v>
      </c>
      <c r="E48" s="2">
        <v>5.0</v>
      </c>
      <c r="F48" s="2" t="s">
        <v>20</v>
      </c>
      <c r="G48" s="2" t="s">
        <v>48</v>
      </c>
      <c r="H48" s="2">
        <v>1.0</v>
      </c>
      <c r="I48" s="2">
        <v>1.0</v>
      </c>
      <c r="J48" s="2" t="s">
        <v>66</v>
      </c>
      <c r="K48" s="2" t="s">
        <v>60</v>
      </c>
      <c r="L48" s="2">
        <v>4.0</v>
      </c>
      <c r="M48" s="2" t="s">
        <v>24</v>
      </c>
      <c r="N48" s="2">
        <v>4.0</v>
      </c>
    </row>
    <row r="49">
      <c r="A49" s="2">
        <v>48.0</v>
      </c>
      <c r="B49" s="3">
        <v>45809.0</v>
      </c>
      <c r="C49" s="3">
        <v>45821.0</v>
      </c>
      <c r="D49" s="3" t="s">
        <v>14</v>
      </c>
      <c r="E49" s="2">
        <v>12.0</v>
      </c>
      <c r="F49" s="2" t="s">
        <v>15</v>
      </c>
      <c r="G49" s="2" t="s">
        <v>16</v>
      </c>
      <c r="H49" s="2">
        <v>1.0</v>
      </c>
      <c r="I49" s="2">
        <v>1.0</v>
      </c>
      <c r="J49" s="2" t="s">
        <v>67</v>
      </c>
      <c r="K49" s="2" t="s">
        <v>18</v>
      </c>
      <c r="L49" s="2">
        <v>3.0</v>
      </c>
      <c r="M49" s="2" t="s">
        <v>24</v>
      </c>
      <c r="N49" s="2">
        <v>6.0</v>
      </c>
    </row>
    <row r="50">
      <c r="A50" s="2">
        <v>49.0</v>
      </c>
      <c r="B50" s="3">
        <v>45786.0</v>
      </c>
      <c r="C50" s="3">
        <v>45795.0</v>
      </c>
      <c r="D50" s="3" t="s">
        <v>14</v>
      </c>
      <c r="E50" s="2">
        <v>9.0</v>
      </c>
      <c r="F50" s="2" t="s">
        <v>42</v>
      </c>
      <c r="G50" s="2" t="s">
        <v>50</v>
      </c>
      <c r="H50" s="2">
        <v>1.0</v>
      </c>
      <c r="I50" s="2">
        <v>1.0</v>
      </c>
      <c r="J50" s="2" t="s">
        <v>44</v>
      </c>
      <c r="K50" s="2" t="s">
        <v>18</v>
      </c>
      <c r="L50" s="2">
        <v>2.0</v>
      </c>
      <c r="M50" s="2" t="s">
        <v>19</v>
      </c>
      <c r="N50" s="2">
        <v>6.0</v>
      </c>
    </row>
    <row r="51">
      <c r="A51" s="2">
        <v>50.0</v>
      </c>
      <c r="B51" s="3">
        <v>45623.0</v>
      </c>
      <c r="C51" s="3">
        <v>45631.0</v>
      </c>
      <c r="D51" s="3" t="s">
        <v>14</v>
      </c>
      <c r="E51" s="2">
        <v>8.0</v>
      </c>
      <c r="F51" s="2" t="s">
        <v>25</v>
      </c>
      <c r="G51" s="2" t="s">
        <v>68</v>
      </c>
      <c r="H51" s="2">
        <v>4.0</v>
      </c>
      <c r="I51" s="2">
        <v>1.0</v>
      </c>
      <c r="J51" s="2" t="s">
        <v>64</v>
      </c>
      <c r="K51" s="2" t="s">
        <v>18</v>
      </c>
      <c r="L51" s="2">
        <v>4.0</v>
      </c>
      <c r="M51" s="2" t="s">
        <v>24</v>
      </c>
      <c r="N51" s="2">
        <v>5.0</v>
      </c>
    </row>
    <row r="52">
      <c r="A52" s="2">
        <v>51.0</v>
      </c>
      <c r="B52" s="3">
        <v>45400.0</v>
      </c>
      <c r="C52" s="3" t="s">
        <v>29</v>
      </c>
      <c r="D52" s="3" t="s">
        <v>52</v>
      </c>
      <c r="E52" s="2" t="s">
        <v>29</v>
      </c>
      <c r="F52" s="2" t="s">
        <v>42</v>
      </c>
      <c r="G52" s="2" t="s">
        <v>43</v>
      </c>
      <c r="H52" s="2">
        <v>3.0</v>
      </c>
      <c r="I52" s="2" t="s">
        <v>29</v>
      </c>
      <c r="J52" s="2" t="s">
        <v>47</v>
      </c>
      <c r="K52" s="2" t="s">
        <v>18</v>
      </c>
      <c r="L52" s="2">
        <v>2.0</v>
      </c>
      <c r="M52" s="2" t="s">
        <v>19</v>
      </c>
      <c r="N52" s="2">
        <v>4.0</v>
      </c>
    </row>
    <row r="53">
      <c r="A53" s="2">
        <v>52.0</v>
      </c>
      <c r="B53" s="3">
        <v>45530.0</v>
      </c>
      <c r="C53" s="3">
        <v>45543.0</v>
      </c>
      <c r="D53" s="3" t="s">
        <v>14</v>
      </c>
      <c r="E53" s="2">
        <v>13.0</v>
      </c>
      <c r="F53" s="2" t="s">
        <v>20</v>
      </c>
      <c r="G53" s="2" t="s">
        <v>41</v>
      </c>
      <c r="H53" s="2">
        <v>3.0</v>
      </c>
      <c r="I53" s="2">
        <v>2.0</v>
      </c>
      <c r="J53" s="2" t="s">
        <v>47</v>
      </c>
      <c r="K53" s="2" t="s">
        <v>60</v>
      </c>
      <c r="L53" s="2">
        <v>4.0</v>
      </c>
      <c r="M53" s="2" t="s">
        <v>24</v>
      </c>
      <c r="N53" s="2">
        <v>1.0</v>
      </c>
    </row>
    <row r="54">
      <c r="A54" s="2">
        <v>53.0</v>
      </c>
      <c r="B54" s="3">
        <v>45762.0</v>
      </c>
      <c r="C54" s="3">
        <v>45773.0</v>
      </c>
      <c r="D54" s="3" t="s">
        <v>14</v>
      </c>
      <c r="E54" s="2">
        <v>11.0</v>
      </c>
      <c r="F54" s="2" t="s">
        <v>15</v>
      </c>
      <c r="G54" s="2" t="s">
        <v>16</v>
      </c>
      <c r="H54" s="2">
        <v>3.0</v>
      </c>
      <c r="I54" s="2">
        <v>2.0</v>
      </c>
      <c r="J54" s="2" t="s">
        <v>58</v>
      </c>
      <c r="K54" s="2" t="s">
        <v>18</v>
      </c>
      <c r="L54" s="2">
        <v>1.0</v>
      </c>
      <c r="M54" s="2" t="s">
        <v>24</v>
      </c>
      <c r="N54" s="2">
        <v>1.0</v>
      </c>
    </row>
    <row r="55">
      <c r="A55" s="2">
        <v>54.0</v>
      </c>
      <c r="B55" s="3">
        <v>45350.0</v>
      </c>
      <c r="C55" s="3">
        <v>45362.0</v>
      </c>
      <c r="D55" s="3" t="s">
        <v>14</v>
      </c>
      <c r="E55" s="2">
        <v>12.0</v>
      </c>
      <c r="F55" s="2" t="s">
        <v>45</v>
      </c>
      <c r="G55" s="2" t="s">
        <v>46</v>
      </c>
      <c r="H55" s="2">
        <v>4.0</v>
      </c>
      <c r="I55" s="2">
        <v>1.0</v>
      </c>
      <c r="J55" s="2" t="s">
        <v>22</v>
      </c>
      <c r="K55" s="2" t="s">
        <v>23</v>
      </c>
      <c r="L55" s="2">
        <v>6.0</v>
      </c>
      <c r="M55" s="2" t="s">
        <v>19</v>
      </c>
      <c r="N55" s="2">
        <v>5.0</v>
      </c>
    </row>
    <row r="56">
      <c r="A56" s="2">
        <v>55.0</v>
      </c>
      <c r="B56" s="3">
        <v>45491.0</v>
      </c>
      <c r="C56" s="3">
        <v>45501.0</v>
      </c>
      <c r="D56" s="3" t="s">
        <v>14</v>
      </c>
      <c r="E56" s="2">
        <v>10.0</v>
      </c>
      <c r="F56" s="2" t="s">
        <v>15</v>
      </c>
      <c r="G56" s="2" t="s">
        <v>37</v>
      </c>
      <c r="H56" s="2">
        <v>3.0</v>
      </c>
      <c r="I56" s="2">
        <v>3.0</v>
      </c>
      <c r="J56" s="2" t="s">
        <v>55</v>
      </c>
      <c r="K56" s="2" t="s">
        <v>39</v>
      </c>
      <c r="L56" s="2">
        <v>2.0</v>
      </c>
      <c r="M56" s="2" t="s">
        <v>24</v>
      </c>
      <c r="N56" s="2">
        <v>4.0</v>
      </c>
    </row>
    <row r="57">
      <c r="A57" s="2">
        <v>56.0</v>
      </c>
      <c r="B57" s="3">
        <v>45494.0</v>
      </c>
      <c r="C57" s="3" t="s">
        <v>29</v>
      </c>
      <c r="D57" s="3" t="s">
        <v>52</v>
      </c>
      <c r="E57" s="2" t="s">
        <v>29</v>
      </c>
      <c r="F57" s="2" t="s">
        <v>45</v>
      </c>
      <c r="G57" s="2" t="s">
        <v>46</v>
      </c>
      <c r="H57" s="2">
        <v>1.0</v>
      </c>
      <c r="I57" s="2" t="s">
        <v>29</v>
      </c>
      <c r="J57" s="2" t="s">
        <v>57</v>
      </c>
      <c r="K57" s="2" t="s">
        <v>23</v>
      </c>
      <c r="L57" s="2">
        <v>2.0</v>
      </c>
      <c r="M57" s="2" t="s">
        <v>19</v>
      </c>
      <c r="N57" s="2">
        <v>6.0</v>
      </c>
    </row>
    <row r="58">
      <c r="A58" s="2">
        <v>57.0</v>
      </c>
      <c r="B58" s="3">
        <v>45549.0</v>
      </c>
      <c r="C58" s="3">
        <v>45574.0</v>
      </c>
      <c r="D58" s="3" t="s">
        <v>14</v>
      </c>
      <c r="E58" s="2">
        <v>25.0</v>
      </c>
      <c r="F58" s="2" t="s">
        <v>20</v>
      </c>
      <c r="G58" s="2" t="s">
        <v>41</v>
      </c>
      <c r="H58" s="2">
        <v>4.0</v>
      </c>
      <c r="I58" s="2">
        <v>3.0</v>
      </c>
      <c r="J58" s="2" t="s">
        <v>40</v>
      </c>
      <c r="K58" s="2" t="s">
        <v>23</v>
      </c>
      <c r="L58" s="2">
        <v>6.0</v>
      </c>
      <c r="M58" s="2" t="s">
        <v>19</v>
      </c>
      <c r="N58" s="2">
        <v>6.0</v>
      </c>
    </row>
    <row r="59">
      <c r="A59" s="2">
        <v>58.0</v>
      </c>
      <c r="B59" s="3">
        <v>45768.0</v>
      </c>
      <c r="C59" s="3" t="s">
        <v>29</v>
      </c>
      <c r="D59" s="3" t="s">
        <v>30</v>
      </c>
      <c r="E59" s="2" t="s">
        <v>29</v>
      </c>
      <c r="F59" s="2" t="s">
        <v>25</v>
      </c>
      <c r="G59" s="2" t="s">
        <v>26</v>
      </c>
      <c r="H59" s="2">
        <v>3.0</v>
      </c>
      <c r="I59" s="2" t="s">
        <v>29</v>
      </c>
      <c r="J59" s="2" t="s">
        <v>22</v>
      </c>
      <c r="K59" s="2" t="s">
        <v>18</v>
      </c>
      <c r="L59" s="2">
        <v>4.0</v>
      </c>
      <c r="M59" s="2" t="s">
        <v>24</v>
      </c>
      <c r="N59" s="2">
        <v>6.0</v>
      </c>
    </row>
    <row r="60">
      <c r="A60" s="2">
        <v>59.0</v>
      </c>
      <c r="B60" s="3">
        <v>45343.0</v>
      </c>
      <c r="C60" s="3">
        <v>45354.0</v>
      </c>
      <c r="D60" s="3" t="s">
        <v>14</v>
      </c>
      <c r="E60" s="2">
        <v>11.0</v>
      </c>
      <c r="F60" s="2" t="s">
        <v>25</v>
      </c>
      <c r="G60" s="2" t="s">
        <v>68</v>
      </c>
      <c r="H60" s="2">
        <v>4.0</v>
      </c>
      <c r="I60" s="2">
        <v>2.0</v>
      </c>
      <c r="J60" s="2" t="s">
        <v>22</v>
      </c>
      <c r="K60" s="2" t="s">
        <v>18</v>
      </c>
      <c r="L60" s="2">
        <v>1.0</v>
      </c>
      <c r="M60" s="2" t="s">
        <v>19</v>
      </c>
      <c r="N60" s="2">
        <v>1.0</v>
      </c>
    </row>
    <row r="61">
      <c r="A61" s="2">
        <v>60.0</v>
      </c>
      <c r="B61" s="3">
        <v>45583.0</v>
      </c>
      <c r="C61" s="3">
        <v>45610.0</v>
      </c>
      <c r="D61" s="3" t="s">
        <v>14</v>
      </c>
      <c r="E61" s="2">
        <v>27.0</v>
      </c>
      <c r="F61" s="2" t="s">
        <v>20</v>
      </c>
      <c r="G61" s="2" t="s">
        <v>21</v>
      </c>
      <c r="H61" s="2">
        <v>3.0</v>
      </c>
      <c r="I61" s="2">
        <v>1.0</v>
      </c>
      <c r="J61" s="2" t="s">
        <v>47</v>
      </c>
      <c r="K61" s="2" t="s">
        <v>23</v>
      </c>
      <c r="L61" s="2">
        <v>1.0</v>
      </c>
      <c r="M61" s="2" t="s">
        <v>24</v>
      </c>
      <c r="N61" s="2">
        <v>1.0</v>
      </c>
    </row>
    <row r="62">
      <c r="A62" s="2">
        <v>61.0</v>
      </c>
      <c r="B62" s="3">
        <v>45785.0</v>
      </c>
      <c r="C62" s="3">
        <v>45789.0</v>
      </c>
      <c r="D62" s="3" t="s">
        <v>14</v>
      </c>
      <c r="E62" s="2">
        <v>4.0</v>
      </c>
      <c r="F62" s="2" t="s">
        <v>42</v>
      </c>
      <c r="G62" s="2" t="s">
        <v>50</v>
      </c>
      <c r="H62" s="2">
        <v>2.0</v>
      </c>
      <c r="I62" s="2">
        <v>1.0</v>
      </c>
      <c r="J62" s="2" t="s">
        <v>33</v>
      </c>
      <c r="K62" s="2" t="s">
        <v>23</v>
      </c>
      <c r="L62" s="2">
        <v>3.0</v>
      </c>
      <c r="M62" s="2" t="s">
        <v>24</v>
      </c>
      <c r="N62" s="2">
        <v>2.0</v>
      </c>
    </row>
    <row r="63">
      <c r="A63" s="2">
        <v>62.0</v>
      </c>
      <c r="B63" s="3">
        <v>45553.0</v>
      </c>
      <c r="C63" s="3">
        <v>45582.0</v>
      </c>
      <c r="D63" s="3" t="s">
        <v>14</v>
      </c>
      <c r="E63" s="2">
        <v>29.0</v>
      </c>
      <c r="F63" s="2" t="s">
        <v>45</v>
      </c>
      <c r="G63" s="2" t="s">
        <v>56</v>
      </c>
      <c r="H63" s="2">
        <v>2.0</v>
      </c>
      <c r="I63" s="2">
        <v>2.0</v>
      </c>
      <c r="J63" s="2" t="s">
        <v>49</v>
      </c>
      <c r="K63" s="2" t="s">
        <v>34</v>
      </c>
      <c r="L63" s="2">
        <v>6.0</v>
      </c>
      <c r="M63" s="2" t="s">
        <v>24</v>
      </c>
      <c r="N63" s="2">
        <v>3.0</v>
      </c>
    </row>
    <row r="64">
      <c r="A64" s="2">
        <v>63.0</v>
      </c>
      <c r="B64" s="3">
        <v>45794.0</v>
      </c>
      <c r="C64" s="3" t="s">
        <v>29</v>
      </c>
      <c r="D64" s="3" t="s">
        <v>52</v>
      </c>
      <c r="E64" s="2" t="s">
        <v>29</v>
      </c>
      <c r="F64" s="2" t="s">
        <v>31</v>
      </c>
      <c r="G64" s="2" t="s">
        <v>69</v>
      </c>
      <c r="H64" s="2">
        <v>1.0</v>
      </c>
      <c r="I64" s="2" t="s">
        <v>29</v>
      </c>
      <c r="J64" s="2" t="s">
        <v>57</v>
      </c>
      <c r="K64" s="2" t="s">
        <v>18</v>
      </c>
      <c r="L64" s="2">
        <v>6.0</v>
      </c>
      <c r="M64" s="2" t="s">
        <v>24</v>
      </c>
      <c r="N64" s="2">
        <v>2.0</v>
      </c>
    </row>
    <row r="65">
      <c r="A65" s="2">
        <v>64.0</v>
      </c>
      <c r="B65" s="3">
        <v>45618.0</v>
      </c>
      <c r="C65" s="3" t="s">
        <v>29</v>
      </c>
      <c r="D65" s="3" t="s">
        <v>52</v>
      </c>
      <c r="E65" s="2" t="s">
        <v>29</v>
      </c>
      <c r="F65" s="2" t="s">
        <v>20</v>
      </c>
      <c r="G65" s="2" t="s">
        <v>41</v>
      </c>
      <c r="H65" s="2">
        <v>2.0</v>
      </c>
      <c r="I65" s="2" t="s">
        <v>29</v>
      </c>
      <c r="J65" s="2" t="s">
        <v>33</v>
      </c>
      <c r="K65" s="2" t="s">
        <v>34</v>
      </c>
      <c r="L65" s="2">
        <v>1.0</v>
      </c>
      <c r="M65" s="2" t="s">
        <v>19</v>
      </c>
      <c r="N65" s="2">
        <v>6.0</v>
      </c>
    </row>
    <row r="66">
      <c r="A66" s="2">
        <v>65.0</v>
      </c>
      <c r="B66" s="3">
        <v>45695.0</v>
      </c>
      <c r="C66" s="3">
        <v>45733.0</v>
      </c>
      <c r="D66" s="3" t="s">
        <v>14</v>
      </c>
      <c r="E66" s="2">
        <v>38.0</v>
      </c>
      <c r="F66" s="2" t="s">
        <v>25</v>
      </c>
      <c r="G66" s="2" t="s">
        <v>59</v>
      </c>
      <c r="H66" s="2">
        <v>3.0</v>
      </c>
      <c r="I66" s="2">
        <v>3.0</v>
      </c>
      <c r="J66" s="2" t="s">
        <v>33</v>
      </c>
      <c r="K66" s="2" t="s">
        <v>39</v>
      </c>
      <c r="L66" s="2">
        <v>2.0</v>
      </c>
      <c r="M66" s="2" t="s">
        <v>19</v>
      </c>
      <c r="N66" s="2">
        <v>2.0</v>
      </c>
    </row>
    <row r="67">
      <c r="A67" s="2">
        <v>66.0</v>
      </c>
      <c r="B67" s="3">
        <v>45823.0</v>
      </c>
      <c r="C67" s="3">
        <v>45827.0</v>
      </c>
      <c r="D67" s="3" t="s">
        <v>14</v>
      </c>
      <c r="E67" s="2">
        <v>4.0</v>
      </c>
      <c r="F67" s="2" t="s">
        <v>42</v>
      </c>
      <c r="G67" s="2" t="s">
        <v>50</v>
      </c>
      <c r="H67" s="2">
        <v>3.0</v>
      </c>
      <c r="I67" s="2">
        <v>2.0</v>
      </c>
      <c r="J67" s="2" t="s">
        <v>66</v>
      </c>
      <c r="K67" s="2" t="s">
        <v>18</v>
      </c>
      <c r="L67" s="2">
        <v>3.0</v>
      </c>
      <c r="M67" s="2" t="s">
        <v>24</v>
      </c>
      <c r="N67" s="2">
        <v>3.0</v>
      </c>
    </row>
    <row r="68">
      <c r="A68" s="2">
        <v>67.0</v>
      </c>
      <c r="B68" s="3">
        <v>45635.0</v>
      </c>
      <c r="C68" s="3">
        <v>45646.0</v>
      </c>
      <c r="D68" s="3" t="s">
        <v>14</v>
      </c>
      <c r="E68" s="2">
        <v>11.0</v>
      </c>
      <c r="F68" s="2" t="s">
        <v>25</v>
      </c>
      <c r="G68" s="2" t="s">
        <v>59</v>
      </c>
      <c r="H68" s="2">
        <v>4.0</v>
      </c>
      <c r="I68" s="2">
        <v>4.0</v>
      </c>
      <c r="J68" s="2" t="s">
        <v>27</v>
      </c>
      <c r="K68" s="2" t="s">
        <v>18</v>
      </c>
      <c r="L68" s="2">
        <v>6.0</v>
      </c>
      <c r="M68" s="2" t="s">
        <v>24</v>
      </c>
      <c r="N68" s="2">
        <v>3.0</v>
      </c>
    </row>
    <row r="69">
      <c r="A69" s="2">
        <v>68.0</v>
      </c>
      <c r="B69" s="3">
        <v>45827.0</v>
      </c>
      <c r="C69" s="3">
        <v>45839.0</v>
      </c>
      <c r="D69" s="3" t="s">
        <v>14</v>
      </c>
      <c r="E69" s="2">
        <v>12.0</v>
      </c>
      <c r="F69" s="2" t="s">
        <v>45</v>
      </c>
      <c r="G69" s="2" t="s">
        <v>70</v>
      </c>
      <c r="H69" s="2">
        <v>1.0</v>
      </c>
      <c r="I69" s="2">
        <v>1.0</v>
      </c>
      <c r="J69" s="2" t="s">
        <v>38</v>
      </c>
      <c r="K69" s="2" t="s">
        <v>39</v>
      </c>
      <c r="L69" s="2">
        <v>3.0</v>
      </c>
      <c r="M69" s="2" t="s">
        <v>19</v>
      </c>
      <c r="N69" s="2">
        <v>1.0</v>
      </c>
    </row>
    <row r="70">
      <c r="A70" s="2">
        <v>69.0</v>
      </c>
      <c r="B70" s="3">
        <v>45494.0</v>
      </c>
      <c r="C70" s="3">
        <v>45507.0</v>
      </c>
      <c r="D70" s="3" t="s">
        <v>14</v>
      </c>
      <c r="E70" s="2">
        <v>13.0</v>
      </c>
      <c r="F70" s="2" t="s">
        <v>25</v>
      </c>
      <c r="G70" s="2" t="s">
        <v>26</v>
      </c>
      <c r="H70" s="2">
        <v>1.0</v>
      </c>
      <c r="I70" s="2">
        <v>1.0</v>
      </c>
      <c r="J70" s="2" t="s">
        <v>55</v>
      </c>
      <c r="K70" s="2" t="s">
        <v>23</v>
      </c>
      <c r="L70" s="2">
        <v>3.0</v>
      </c>
      <c r="M70" s="2" t="s">
        <v>19</v>
      </c>
      <c r="N70" s="2">
        <v>6.0</v>
      </c>
    </row>
    <row r="71">
      <c r="A71" s="2">
        <v>70.0</v>
      </c>
      <c r="B71" s="3">
        <v>45558.0</v>
      </c>
      <c r="C71" s="3">
        <v>45566.0</v>
      </c>
      <c r="D71" s="3" t="s">
        <v>14</v>
      </c>
      <c r="E71" s="2">
        <v>8.0</v>
      </c>
      <c r="F71" s="2" t="s">
        <v>15</v>
      </c>
      <c r="G71" s="2" t="s">
        <v>16</v>
      </c>
      <c r="H71" s="2">
        <v>4.0</v>
      </c>
      <c r="I71" s="2">
        <v>2.0</v>
      </c>
      <c r="J71" s="2" t="s">
        <v>36</v>
      </c>
      <c r="K71" s="2" t="s">
        <v>18</v>
      </c>
      <c r="L71" s="2">
        <v>4.0</v>
      </c>
      <c r="M71" s="2" t="s">
        <v>19</v>
      </c>
      <c r="N71" s="2">
        <v>6.0</v>
      </c>
    </row>
    <row r="72">
      <c r="A72" s="2">
        <v>71.0</v>
      </c>
      <c r="B72" s="3">
        <v>45806.0</v>
      </c>
      <c r="C72" s="3">
        <v>45813.0</v>
      </c>
      <c r="D72" s="3" t="s">
        <v>14</v>
      </c>
      <c r="E72" s="2">
        <v>7.0</v>
      </c>
      <c r="F72" s="2" t="s">
        <v>15</v>
      </c>
      <c r="G72" s="2" t="s">
        <v>16</v>
      </c>
      <c r="H72" s="2">
        <v>2.0</v>
      </c>
      <c r="I72" s="2">
        <v>2.0</v>
      </c>
      <c r="J72" s="2" t="s">
        <v>64</v>
      </c>
      <c r="K72" s="2" t="s">
        <v>23</v>
      </c>
      <c r="L72" s="2">
        <v>2.0</v>
      </c>
      <c r="M72" s="2" t="s">
        <v>19</v>
      </c>
      <c r="N72" s="2">
        <v>5.0</v>
      </c>
    </row>
    <row r="73">
      <c r="A73" s="2">
        <v>72.0</v>
      </c>
      <c r="B73" s="3">
        <v>45767.0</v>
      </c>
      <c r="C73" s="3">
        <v>45777.0</v>
      </c>
      <c r="D73" s="3" t="s">
        <v>14</v>
      </c>
      <c r="E73" s="2">
        <v>10.0</v>
      </c>
      <c r="F73" s="2" t="s">
        <v>15</v>
      </c>
      <c r="G73" s="2" t="s">
        <v>16</v>
      </c>
      <c r="H73" s="2">
        <v>2.0</v>
      </c>
      <c r="I73" s="2">
        <v>2.0</v>
      </c>
      <c r="J73" s="2" t="s">
        <v>63</v>
      </c>
      <c r="K73" s="2" t="s">
        <v>18</v>
      </c>
      <c r="L73" s="2">
        <v>1.0</v>
      </c>
      <c r="M73" s="2" t="s">
        <v>24</v>
      </c>
      <c r="N73" s="2">
        <v>2.0</v>
      </c>
    </row>
    <row r="74">
      <c r="A74" s="2">
        <v>73.0</v>
      </c>
      <c r="B74" s="3">
        <v>45429.0</v>
      </c>
      <c r="C74" s="3">
        <v>45441.0</v>
      </c>
      <c r="D74" s="3" t="s">
        <v>14</v>
      </c>
      <c r="E74" s="2">
        <v>12.0</v>
      </c>
      <c r="F74" s="2" t="s">
        <v>45</v>
      </c>
      <c r="G74" s="2" t="s">
        <v>46</v>
      </c>
      <c r="H74" s="2">
        <v>3.0</v>
      </c>
      <c r="I74" s="2">
        <v>2.0</v>
      </c>
      <c r="J74" s="2" t="s">
        <v>67</v>
      </c>
      <c r="K74" s="2" t="s">
        <v>23</v>
      </c>
      <c r="L74" s="2">
        <v>3.0</v>
      </c>
      <c r="M74" s="2" t="s">
        <v>19</v>
      </c>
      <c r="N74" s="2">
        <v>6.0</v>
      </c>
    </row>
    <row r="75">
      <c r="A75" s="2">
        <v>74.0</v>
      </c>
      <c r="B75" s="3">
        <v>45525.0</v>
      </c>
      <c r="C75" s="3" t="s">
        <v>29</v>
      </c>
      <c r="D75" s="3" t="s">
        <v>52</v>
      </c>
      <c r="E75" s="2" t="s">
        <v>29</v>
      </c>
      <c r="F75" s="2" t="s">
        <v>25</v>
      </c>
      <c r="G75" s="2" t="s">
        <v>59</v>
      </c>
      <c r="H75" s="2">
        <v>2.0</v>
      </c>
      <c r="I75" s="2" t="s">
        <v>29</v>
      </c>
      <c r="J75" s="2" t="s">
        <v>49</v>
      </c>
      <c r="K75" s="2" t="s">
        <v>28</v>
      </c>
      <c r="L75" s="2">
        <v>1.0</v>
      </c>
      <c r="M75" s="2" t="s">
        <v>19</v>
      </c>
      <c r="N75" s="2">
        <v>2.0</v>
      </c>
    </row>
    <row r="76">
      <c r="A76" s="2">
        <v>75.0</v>
      </c>
      <c r="B76" s="3">
        <v>45513.0</v>
      </c>
      <c r="C76" s="3" t="s">
        <v>29</v>
      </c>
      <c r="D76" s="3" t="s">
        <v>52</v>
      </c>
      <c r="E76" s="2" t="s">
        <v>29</v>
      </c>
      <c r="F76" s="2" t="s">
        <v>42</v>
      </c>
      <c r="G76" s="2" t="s">
        <v>65</v>
      </c>
      <c r="H76" s="2">
        <v>4.0</v>
      </c>
      <c r="I76" s="2" t="s">
        <v>29</v>
      </c>
      <c r="J76" s="2" t="s">
        <v>38</v>
      </c>
      <c r="K76" s="2" t="s">
        <v>28</v>
      </c>
      <c r="L76" s="2">
        <v>2.0</v>
      </c>
      <c r="M76" s="2" t="s">
        <v>19</v>
      </c>
      <c r="N76" s="2">
        <v>3.0</v>
      </c>
    </row>
    <row r="77">
      <c r="A77" s="2">
        <v>76.0</v>
      </c>
      <c r="B77" s="3">
        <v>45396.0</v>
      </c>
      <c r="C77" s="3" t="s">
        <v>29</v>
      </c>
      <c r="D77" s="3" t="s">
        <v>52</v>
      </c>
      <c r="E77" s="2" t="s">
        <v>29</v>
      </c>
      <c r="F77" s="2" t="s">
        <v>15</v>
      </c>
      <c r="G77" s="2" t="s">
        <v>37</v>
      </c>
      <c r="H77" s="2">
        <v>3.0</v>
      </c>
      <c r="I77" s="2" t="s">
        <v>29</v>
      </c>
      <c r="J77" s="2" t="s">
        <v>64</v>
      </c>
      <c r="K77" s="2" t="s">
        <v>18</v>
      </c>
      <c r="L77" s="2">
        <v>3.0</v>
      </c>
      <c r="M77" s="2" t="s">
        <v>24</v>
      </c>
      <c r="N77" s="2">
        <v>4.0</v>
      </c>
    </row>
    <row r="78">
      <c r="A78" s="2">
        <v>77.0</v>
      </c>
      <c r="B78" s="3">
        <v>45570.0</v>
      </c>
      <c r="C78" s="3" t="s">
        <v>29</v>
      </c>
      <c r="D78" s="3" t="s">
        <v>52</v>
      </c>
      <c r="E78" s="2" t="s">
        <v>29</v>
      </c>
      <c r="F78" s="2" t="s">
        <v>42</v>
      </c>
      <c r="G78" s="2" t="s">
        <v>50</v>
      </c>
      <c r="H78" s="2">
        <v>4.0</v>
      </c>
      <c r="I78" s="2" t="s">
        <v>29</v>
      </c>
      <c r="J78" s="2" t="s">
        <v>38</v>
      </c>
      <c r="K78" s="2" t="s">
        <v>60</v>
      </c>
      <c r="L78" s="2">
        <v>4.0</v>
      </c>
      <c r="M78" s="2" t="s">
        <v>19</v>
      </c>
      <c r="N78" s="2">
        <v>5.0</v>
      </c>
    </row>
    <row r="79">
      <c r="A79" s="2">
        <v>78.0</v>
      </c>
      <c r="B79" s="3">
        <v>45298.0</v>
      </c>
      <c r="C79" s="3">
        <v>45339.0</v>
      </c>
      <c r="D79" s="3" t="s">
        <v>14</v>
      </c>
      <c r="E79" s="2">
        <v>41.0</v>
      </c>
      <c r="F79" s="2" t="s">
        <v>45</v>
      </c>
      <c r="G79" s="2" t="s">
        <v>56</v>
      </c>
      <c r="H79" s="2">
        <v>3.0</v>
      </c>
      <c r="I79" s="2">
        <v>2.0</v>
      </c>
      <c r="J79" s="2" t="s">
        <v>40</v>
      </c>
      <c r="K79" s="2" t="s">
        <v>18</v>
      </c>
      <c r="L79" s="2">
        <v>3.0</v>
      </c>
      <c r="M79" s="2" t="s">
        <v>19</v>
      </c>
      <c r="N79" s="2">
        <v>5.0</v>
      </c>
    </row>
    <row r="80">
      <c r="A80" s="2">
        <v>79.0</v>
      </c>
      <c r="B80" s="3">
        <v>45325.0</v>
      </c>
      <c r="C80" s="3">
        <v>45362.0</v>
      </c>
      <c r="D80" s="3" t="s">
        <v>14</v>
      </c>
      <c r="E80" s="2">
        <v>37.0</v>
      </c>
      <c r="F80" s="2" t="s">
        <v>20</v>
      </c>
      <c r="G80" s="2" t="s">
        <v>21</v>
      </c>
      <c r="H80" s="2">
        <v>3.0</v>
      </c>
      <c r="I80" s="2">
        <v>3.0</v>
      </c>
      <c r="J80" s="2" t="s">
        <v>22</v>
      </c>
      <c r="K80" s="2" t="s">
        <v>18</v>
      </c>
      <c r="L80" s="2">
        <v>1.0</v>
      </c>
      <c r="M80" s="2" t="s">
        <v>24</v>
      </c>
      <c r="N80" s="2">
        <v>4.0</v>
      </c>
    </row>
    <row r="81">
      <c r="A81" s="2">
        <v>80.0</v>
      </c>
      <c r="B81" s="3">
        <v>45481.0</v>
      </c>
      <c r="C81" s="3">
        <v>45489.0</v>
      </c>
      <c r="D81" s="3" t="s">
        <v>14</v>
      </c>
      <c r="E81" s="2">
        <v>8.0</v>
      </c>
      <c r="F81" s="2" t="s">
        <v>15</v>
      </c>
      <c r="G81" s="2" t="s">
        <v>37</v>
      </c>
      <c r="H81" s="2">
        <v>2.0</v>
      </c>
      <c r="I81" s="2">
        <v>2.0</v>
      </c>
      <c r="J81" s="2" t="s">
        <v>17</v>
      </c>
      <c r="K81" s="2" t="s">
        <v>39</v>
      </c>
      <c r="L81" s="2">
        <v>2.0</v>
      </c>
      <c r="M81" s="2" t="s">
        <v>19</v>
      </c>
      <c r="N81" s="2">
        <v>1.0</v>
      </c>
    </row>
    <row r="82">
      <c r="A82" s="2">
        <v>81.0</v>
      </c>
      <c r="B82" s="3">
        <v>45708.0</v>
      </c>
      <c r="C82" s="3">
        <v>45720.0</v>
      </c>
      <c r="D82" s="3" t="s">
        <v>14</v>
      </c>
      <c r="E82" s="2">
        <v>12.0</v>
      </c>
      <c r="F82" s="2" t="s">
        <v>31</v>
      </c>
      <c r="G82" s="2" t="s">
        <v>35</v>
      </c>
      <c r="H82" s="2">
        <v>2.0</v>
      </c>
      <c r="I82" s="2">
        <v>1.0</v>
      </c>
      <c r="J82" s="2" t="s">
        <v>67</v>
      </c>
      <c r="K82" s="2" t="s">
        <v>39</v>
      </c>
      <c r="L82" s="2">
        <v>3.0</v>
      </c>
      <c r="M82" s="2" t="s">
        <v>19</v>
      </c>
      <c r="N82" s="2">
        <v>5.0</v>
      </c>
    </row>
    <row r="83">
      <c r="A83" s="2">
        <v>82.0</v>
      </c>
      <c r="B83" s="3">
        <v>45551.0</v>
      </c>
      <c r="C83" s="3">
        <v>45553.0</v>
      </c>
      <c r="D83" s="3" t="s">
        <v>14</v>
      </c>
      <c r="E83" s="2">
        <v>2.0</v>
      </c>
      <c r="F83" s="2" t="s">
        <v>45</v>
      </c>
      <c r="G83" s="2" t="s">
        <v>56</v>
      </c>
      <c r="H83" s="2">
        <v>4.0</v>
      </c>
      <c r="I83" s="2">
        <v>1.0</v>
      </c>
      <c r="J83" s="2" t="s">
        <v>62</v>
      </c>
      <c r="K83" s="2" t="s">
        <v>34</v>
      </c>
      <c r="L83" s="2">
        <v>3.0</v>
      </c>
      <c r="M83" s="2" t="s">
        <v>24</v>
      </c>
      <c r="N83" s="2">
        <v>2.0</v>
      </c>
    </row>
    <row r="84">
      <c r="A84" s="2">
        <v>83.0</v>
      </c>
      <c r="B84" s="3">
        <v>45662.0</v>
      </c>
      <c r="C84" s="3">
        <v>45680.0</v>
      </c>
      <c r="D84" s="3" t="s">
        <v>14</v>
      </c>
      <c r="E84" s="2">
        <v>18.0</v>
      </c>
      <c r="F84" s="2" t="s">
        <v>20</v>
      </c>
      <c r="G84" s="2" t="s">
        <v>41</v>
      </c>
      <c r="H84" s="2">
        <v>3.0</v>
      </c>
      <c r="I84" s="2">
        <v>3.0</v>
      </c>
      <c r="J84" s="2" t="s">
        <v>57</v>
      </c>
      <c r="K84" s="2" t="s">
        <v>34</v>
      </c>
      <c r="L84" s="2">
        <v>6.0</v>
      </c>
      <c r="M84" s="2" t="s">
        <v>19</v>
      </c>
      <c r="N84" s="2">
        <v>5.0</v>
      </c>
    </row>
    <row r="85">
      <c r="A85" s="2">
        <v>84.0</v>
      </c>
      <c r="B85" s="3">
        <v>45638.0</v>
      </c>
      <c r="C85" s="3" t="s">
        <v>29</v>
      </c>
      <c r="D85" s="3" t="s">
        <v>30</v>
      </c>
      <c r="E85" s="2" t="s">
        <v>29</v>
      </c>
      <c r="F85" s="2" t="s">
        <v>20</v>
      </c>
      <c r="G85" s="2" t="s">
        <v>21</v>
      </c>
      <c r="H85" s="2">
        <v>4.0</v>
      </c>
      <c r="I85" s="2" t="s">
        <v>29</v>
      </c>
      <c r="J85" s="2" t="s">
        <v>64</v>
      </c>
      <c r="K85" s="2" t="s">
        <v>28</v>
      </c>
      <c r="L85" s="2">
        <v>6.0</v>
      </c>
      <c r="M85" s="2" t="s">
        <v>19</v>
      </c>
      <c r="N85" s="2">
        <v>4.0</v>
      </c>
    </row>
    <row r="86">
      <c r="A86" s="2">
        <v>85.0</v>
      </c>
      <c r="B86" s="3">
        <v>45576.0</v>
      </c>
      <c r="C86" s="3">
        <v>45593.0</v>
      </c>
      <c r="D86" s="3" t="s">
        <v>14</v>
      </c>
      <c r="E86" s="2">
        <v>17.0</v>
      </c>
      <c r="F86" s="2" t="s">
        <v>25</v>
      </c>
      <c r="G86" s="2" t="s">
        <v>68</v>
      </c>
      <c r="H86" s="2">
        <v>3.0</v>
      </c>
      <c r="I86" s="2">
        <v>2.0</v>
      </c>
      <c r="J86" s="2" t="s">
        <v>33</v>
      </c>
      <c r="K86" s="2" t="s">
        <v>34</v>
      </c>
      <c r="L86" s="2">
        <v>3.0</v>
      </c>
      <c r="M86" s="2" t="s">
        <v>19</v>
      </c>
      <c r="N86" s="2">
        <v>3.0</v>
      </c>
    </row>
    <row r="87">
      <c r="A87" s="2">
        <v>86.0</v>
      </c>
      <c r="B87" s="3">
        <v>45449.0</v>
      </c>
      <c r="C87" s="3">
        <v>45454.0</v>
      </c>
      <c r="D87" s="3" t="s">
        <v>14</v>
      </c>
      <c r="E87" s="2">
        <v>5.0</v>
      </c>
      <c r="F87" s="2" t="s">
        <v>45</v>
      </c>
      <c r="G87" s="2" t="s">
        <v>70</v>
      </c>
      <c r="H87" s="2">
        <v>4.0</v>
      </c>
      <c r="I87" s="2">
        <v>3.0</v>
      </c>
      <c r="J87" s="2" t="s">
        <v>57</v>
      </c>
      <c r="K87" s="2" t="s">
        <v>18</v>
      </c>
      <c r="L87" s="2">
        <v>1.0</v>
      </c>
      <c r="M87" s="2" t="s">
        <v>19</v>
      </c>
      <c r="N87" s="2">
        <v>3.0</v>
      </c>
    </row>
    <row r="88">
      <c r="A88" s="2">
        <v>87.0</v>
      </c>
      <c r="B88" s="3">
        <v>45755.0</v>
      </c>
      <c r="C88" s="3">
        <v>45765.0</v>
      </c>
      <c r="D88" s="3" t="s">
        <v>14</v>
      </c>
      <c r="E88" s="2">
        <v>10.0</v>
      </c>
      <c r="F88" s="2" t="s">
        <v>45</v>
      </c>
      <c r="G88" s="2" t="s">
        <v>46</v>
      </c>
      <c r="H88" s="2">
        <v>3.0</v>
      </c>
      <c r="I88" s="2">
        <v>1.0</v>
      </c>
      <c r="J88" s="2" t="s">
        <v>17</v>
      </c>
      <c r="K88" s="2" t="s">
        <v>23</v>
      </c>
      <c r="L88" s="2">
        <v>4.0</v>
      </c>
      <c r="M88" s="2" t="s">
        <v>19</v>
      </c>
      <c r="N88" s="2">
        <v>6.0</v>
      </c>
    </row>
    <row r="89">
      <c r="A89" s="2">
        <v>88.0</v>
      </c>
      <c r="B89" s="3">
        <v>45649.0</v>
      </c>
      <c r="C89" s="3">
        <v>45654.0</v>
      </c>
      <c r="D89" s="3" t="s">
        <v>14</v>
      </c>
      <c r="E89" s="2">
        <v>5.0</v>
      </c>
      <c r="F89" s="2" t="s">
        <v>25</v>
      </c>
      <c r="G89" s="2" t="s">
        <v>59</v>
      </c>
      <c r="H89" s="2">
        <v>3.0</v>
      </c>
      <c r="I89" s="2">
        <v>1.0</v>
      </c>
      <c r="J89" s="2" t="s">
        <v>22</v>
      </c>
      <c r="K89" s="2" t="s">
        <v>28</v>
      </c>
      <c r="L89" s="2">
        <v>1.0</v>
      </c>
      <c r="M89" s="2" t="s">
        <v>24</v>
      </c>
      <c r="N89" s="2">
        <v>5.0</v>
      </c>
    </row>
    <row r="90">
      <c r="A90" s="2">
        <v>89.0</v>
      </c>
      <c r="B90" s="3">
        <v>45721.0</v>
      </c>
      <c r="C90" s="3">
        <v>45722.0</v>
      </c>
      <c r="D90" s="3" t="s">
        <v>14</v>
      </c>
      <c r="E90" s="2">
        <v>1.0</v>
      </c>
      <c r="F90" s="2" t="s">
        <v>45</v>
      </c>
      <c r="G90" s="2" t="s">
        <v>46</v>
      </c>
      <c r="H90" s="2">
        <v>1.0</v>
      </c>
      <c r="I90" s="2">
        <v>1.0</v>
      </c>
      <c r="J90" s="2" t="s">
        <v>44</v>
      </c>
      <c r="K90" s="2" t="s">
        <v>39</v>
      </c>
      <c r="L90" s="2">
        <v>1.0</v>
      </c>
      <c r="M90" s="2" t="s">
        <v>19</v>
      </c>
      <c r="N90" s="2">
        <v>2.0</v>
      </c>
    </row>
    <row r="91">
      <c r="A91" s="2">
        <v>90.0</v>
      </c>
      <c r="B91" s="3">
        <v>45737.0</v>
      </c>
      <c r="C91" s="3">
        <v>45742.0</v>
      </c>
      <c r="D91" s="3" t="s">
        <v>14</v>
      </c>
      <c r="E91" s="2">
        <v>5.0</v>
      </c>
      <c r="F91" s="2" t="s">
        <v>31</v>
      </c>
      <c r="G91" s="2" t="s">
        <v>54</v>
      </c>
      <c r="H91" s="2">
        <v>4.0</v>
      </c>
      <c r="I91" s="2">
        <v>3.0</v>
      </c>
      <c r="J91" s="2" t="s">
        <v>64</v>
      </c>
      <c r="K91" s="2" t="s">
        <v>39</v>
      </c>
      <c r="L91" s="2">
        <v>3.0</v>
      </c>
      <c r="M91" s="2" t="s">
        <v>19</v>
      </c>
      <c r="N91" s="2">
        <v>3.0</v>
      </c>
    </row>
    <row r="92">
      <c r="A92" s="2">
        <v>91.0</v>
      </c>
      <c r="B92" s="3">
        <v>45352.0</v>
      </c>
      <c r="C92" s="3" t="s">
        <v>29</v>
      </c>
      <c r="D92" s="3" t="s">
        <v>30</v>
      </c>
      <c r="E92" s="2" t="s">
        <v>29</v>
      </c>
      <c r="F92" s="2" t="s">
        <v>45</v>
      </c>
      <c r="G92" s="2" t="s">
        <v>46</v>
      </c>
      <c r="H92" s="2">
        <v>3.0</v>
      </c>
      <c r="I92" s="2" t="s">
        <v>29</v>
      </c>
      <c r="J92" s="2" t="s">
        <v>51</v>
      </c>
      <c r="K92" s="2" t="s">
        <v>34</v>
      </c>
      <c r="L92" s="2">
        <v>3.0</v>
      </c>
      <c r="M92" s="2" t="s">
        <v>24</v>
      </c>
      <c r="N92" s="2">
        <v>1.0</v>
      </c>
    </row>
    <row r="93">
      <c r="A93" s="2">
        <v>92.0</v>
      </c>
      <c r="B93" s="3">
        <v>45768.0</v>
      </c>
      <c r="C93" s="3" t="s">
        <v>29</v>
      </c>
      <c r="D93" s="3" t="s">
        <v>52</v>
      </c>
      <c r="E93" s="2" t="s">
        <v>29</v>
      </c>
      <c r="F93" s="2" t="s">
        <v>45</v>
      </c>
      <c r="G93" s="2" t="s">
        <v>56</v>
      </c>
      <c r="H93" s="2">
        <v>3.0</v>
      </c>
      <c r="I93" s="2" t="s">
        <v>29</v>
      </c>
      <c r="J93" s="2" t="s">
        <v>57</v>
      </c>
      <c r="K93" s="2" t="s">
        <v>28</v>
      </c>
      <c r="L93" s="2">
        <v>2.0</v>
      </c>
      <c r="M93" s="2" t="s">
        <v>24</v>
      </c>
      <c r="N93" s="2">
        <v>2.0</v>
      </c>
    </row>
    <row r="94">
      <c r="A94" s="2">
        <v>93.0</v>
      </c>
      <c r="B94" s="3">
        <v>45406.0</v>
      </c>
      <c r="C94" s="3">
        <v>45418.0</v>
      </c>
      <c r="D94" s="3" t="s">
        <v>14</v>
      </c>
      <c r="E94" s="2">
        <v>12.0</v>
      </c>
      <c r="F94" s="2" t="s">
        <v>20</v>
      </c>
      <c r="G94" s="2" t="s">
        <v>48</v>
      </c>
      <c r="H94" s="2">
        <v>1.0</v>
      </c>
      <c r="I94" s="2">
        <v>1.0</v>
      </c>
      <c r="J94" s="2" t="s">
        <v>40</v>
      </c>
      <c r="K94" s="2" t="s">
        <v>39</v>
      </c>
      <c r="L94" s="2">
        <v>4.0</v>
      </c>
      <c r="M94" s="2" t="s">
        <v>19</v>
      </c>
      <c r="N94" s="2">
        <v>6.0</v>
      </c>
    </row>
    <row r="95">
      <c r="A95" s="2">
        <v>94.0</v>
      </c>
      <c r="B95" s="3">
        <v>45599.0</v>
      </c>
      <c r="C95" s="3">
        <v>45607.0</v>
      </c>
      <c r="D95" s="3" t="s">
        <v>14</v>
      </c>
      <c r="E95" s="2">
        <v>8.0</v>
      </c>
      <c r="F95" s="2" t="s">
        <v>15</v>
      </c>
      <c r="G95" s="2" t="s">
        <v>16</v>
      </c>
      <c r="H95" s="2">
        <v>2.0</v>
      </c>
      <c r="I95" s="2">
        <v>1.0</v>
      </c>
      <c r="J95" s="2" t="s">
        <v>55</v>
      </c>
      <c r="K95" s="2" t="s">
        <v>23</v>
      </c>
      <c r="L95" s="2">
        <v>1.0</v>
      </c>
      <c r="M95" s="2" t="s">
        <v>19</v>
      </c>
      <c r="N95" s="2">
        <v>3.0</v>
      </c>
    </row>
    <row r="96">
      <c r="A96" s="2">
        <v>95.0</v>
      </c>
      <c r="B96" s="3">
        <v>45409.0</v>
      </c>
      <c r="C96" s="3" t="s">
        <v>29</v>
      </c>
      <c r="D96" s="3" t="s">
        <v>30</v>
      </c>
      <c r="E96" s="2" t="s">
        <v>29</v>
      </c>
      <c r="F96" s="2" t="s">
        <v>42</v>
      </c>
      <c r="G96" s="2" t="s">
        <v>43</v>
      </c>
      <c r="H96" s="2">
        <v>2.0</v>
      </c>
      <c r="I96" s="2" t="s">
        <v>29</v>
      </c>
      <c r="J96" s="2" t="s">
        <v>63</v>
      </c>
      <c r="K96" s="2" t="s">
        <v>39</v>
      </c>
      <c r="L96" s="2">
        <v>6.0</v>
      </c>
      <c r="M96" s="2" t="s">
        <v>19</v>
      </c>
      <c r="N96" s="2">
        <v>3.0</v>
      </c>
    </row>
    <row r="97">
      <c r="A97" s="2">
        <v>96.0</v>
      </c>
      <c r="B97" s="3">
        <v>45542.0</v>
      </c>
      <c r="C97" s="3">
        <v>45551.0</v>
      </c>
      <c r="D97" s="3" t="s">
        <v>14</v>
      </c>
      <c r="E97" s="2">
        <v>9.0</v>
      </c>
      <c r="F97" s="2" t="s">
        <v>20</v>
      </c>
      <c r="G97" s="2" t="s">
        <v>41</v>
      </c>
      <c r="H97" s="2">
        <v>3.0</v>
      </c>
      <c r="I97" s="2">
        <v>1.0</v>
      </c>
      <c r="J97" s="2" t="s">
        <v>33</v>
      </c>
      <c r="K97" s="2" t="s">
        <v>18</v>
      </c>
      <c r="L97" s="2">
        <v>6.0</v>
      </c>
      <c r="M97" s="2" t="s">
        <v>19</v>
      </c>
      <c r="N97" s="2">
        <v>1.0</v>
      </c>
    </row>
    <row r="98">
      <c r="A98" s="2">
        <v>97.0</v>
      </c>
      <c r="B98" s="3">
        <v>45424.0</v>
      </c>
      <c r="C98" s="3">
        <v>45425.0</v>
      </c>
      <c r="D98" s="3" t="s">
        <v>14</v>
      </c>
      <c r="E98" s="2">
        <v>1.0</v>
      </c>
      <c r="F98" s="2" t="s">
        <v>20</v>
      </c>
      <c r="G98" s="2" t="s">
        <v>41</v>
      </c>
      <c r="H98" s="2">
        <v>2.0</v>
      </c>
      <c r="I98" s="2">
        <v>1.0</v>
      </c>
      <c r="J98" s="2" t="s">
        <v>67</v>
      </c>
      <c r="K98" s="2" t="s">
        <v>28</v>
      </c>
      <c r="L98" s="2">
        <v>4.0</v>
      </c>
      <c r="M98" s="2" t="s">
        <v>19</v>
      </c>
      <c r="N98" s="2">
        <v>3.0</v>
      </c>
    </row>
    <row r="99">
      <c r="A99" s="2">
        <v>98.0</v>
      </c>
      <c r="B99" s="3">
        <v>45662.0</v>
      </c>
      <c r="C99" s="3">
        <v>45672.0</v>
      </c>
      <c r="D99" s="3" t="s">
        <v>14</v>
      </c>
      <c r="E99" s="2">
        <v>10.0</v>
      </c>
      <c r="F99" s="2" t="s">
        <v>15</v>
      </c>
      <c r="G99" s="2" t="s">
        <v>16</v>
      </c>
      <c r="H99" s="2">
        <v>3.0</v>
      </c>
      <c r="I99" s="2">
        <v>1.0</v>
      </c>
      <c r="J99" s="2" t="s">
        <v>38</v>
      </c>
      <c r="K99" s="2" t="s">
        <v>39</v>
      </c>
      <c r="L99" s="2">
        <v>2.0</v>
      </c>
      <c r="M99" s="2" t="s">
        <v>19</v>
      </c>
      <c r="N99" s="2">
        <v>3.0</v>
      </c>
    </row>
    <row r="100">
      <c r="A100" s="2">
        <v>99.0</v>
      </c>
      <c r="B100" s="3">
        <v>45573.0</v>
      </c>
      <c r="C100" s="3">
        <v>45577.0</v>
      </c>
      <c r="D100" s="3" t="s">
        <v>14</v>
      </c>
      <c r="E100" s="2">
        <v>4.0</v>
      </c>
      <c r="F100" s="2" t="s">
        <v>15</v>
      </c>
      <c r="G100" s="2" t="s">
        <v>37</v>
      </c>
      <c r="H100" s="2">
        <v>2.0</v>
      </c>
      <c r="I100" s="2">
        <v>1.0</v>
      </c>
      <c r="J100" s="2" t="s">
        <v>38</v>
      </c>
      <c r="K100" s="2" t="s">
        <v>39</v>
      </c>
      <c r="L100" s="2">
        <v>2.0</v>
      </c>
      <c r="M100" s="2" t="s">
        <v>24</v>
      </c>
      <c r="N100" s="2">
        <v>2.0</v>
      </c>
    </row>
    <row r="101">
      <c r="A101" s="2">
        <v>100.0</v>
      </c>
      <c r="B101" s="3">
        <v>45717.0</v>
      </c>
      <c r="C101" s="3">
        <v>45724.0</v>
      </c>
      <c r="D101" s="3" t="s">
        <v>14</v>
      </c>
      <c r="E101" s="2">
        <v>7.0</v>
      </c>
      <c r="F101" s="2" t="s">
        <v>20</v>
      </c>
      <c r="G101" s="2" t="s">
        <v>21</v>
      </c>
      <c r="H101" s="2">
        <v>4.0</v>
      </c>
      <c r="I101" s="2">
        <v>4.0</v>
      </c>
      <c r="J101" s="2" t="s">
        <v>51</v>
      </c>
      <c r="K101" s="2" t="s">
        <v>23</v>
      </c>
      <c r="L101" s="2">
        <v>3.0</v>
      </c>
      <c r="M101" s="2" t="s">
        <v>19</v>
      </c>
      <c r="N101" s="2">
        <v>6.0</v>
      </c>
    </row>
    <row r="102">
      <c r="A102" s="2">
        <v>101.0</v>
      </c>
      <c r="B102" s="3">
        <v>45715.0</v>
      </c>
      <c r="C102" s="3" t="s">
        <v>29</v>
      </c>
      <c r="D102" s="3" t="s">
        <v>52</v>
      </c>
      <c r="E102" s="2" t="s">
        <v>29</v>
      </c>
      <c r="F102" s="2" t="s">
        <v>42</v>
      </c>
      <c r="G102" s="2" t="s">
        <v>50</v>
      </c>
      <c r="H102" s="2">
        <v>2.0</v>
      </c>
      <c r="I102" s="2" t="s">
        <v>29</v>
      </c>
      <c r="J102" s="2" t="s">
        <v>47</v>
      </c>
      <c r="K102" s="2" t="s">
        <v>34</v>
      </c>
      <c r="L102" s="2">
        <v>5.0</v>
      </c>
      <c r="M102" s="2" t="s">
        <v>19</v>
      </c>
      <c r="N102" s="2">
        <v>3.0</v>
      </c>
    </row>
    <row r="103">
      <c r="A103" s="2">
        <v>102.0</v>
      </c>
      <c r="B103" s="3">
        <v>45663.0</v>
      </c>
      <c r="C103" s="3">
        <v>45676.0</v>
      </c>
      <c r="D103" s="3" t="s">
        <v>14</v>
      </c>
      <c r="E103" s="2">
        <v>13.0</v>
      </c>
      <c r="F103" s="2" t="s">
        <v>15</v>
      </c>
      <c r="G103" s="2" t="s">
        <v>37</v>
      </c>
      <c r="H103" s="2">
        <v>2.0</v>
      </c>
      <c r="I103" s="2">
        <v>2.0</v>
      </c>
      <c r="J103" s="2" t="s">
        <v>67</v>
      </c>
      <c r="K103" s="2" t="s">
        <v>39</v>
      </c>
      <c r="L103" s="2">
        <v>6.0</v>
      </c>
      <c r="M103" s="2" t="s">
        <v>19</v>
      </c>
      <c r="N103" s="2">
        <v>5.0</v>
      </c>
    </row>
    <row r="104">
      <c r="A104" s="2">
        <v>103.0</v>
      </c>
      <c r="B104" s="3">
        <v>45406.0</v>
      </c>
      <c r="C104" s="3">
        <v>45426.0</v>
      </c>
      <c r="D104" s="3" t="s">
        <v>14</v>
      </c>
      <c r="E104" s="2">
        <v>20.0</v>
      </c>
      <c r="F104" s="2" t="s">
        <v>25</v>
      </c>
      <c r="G104" s="2" t="s">
        <v>59</v>
      </c>
      <c r="H104" s="2">
        <v>2.0</v>
      </c>
      <c r="I104" s="2">
        <v>1.0</v>
      </c>
      <c r="J104" s="2" t="s">
        <v>67</v>
      </c>
      <c r="K104" s="2" t="s">
        <v>18</v>
      </c>
      <c r="L104" s="2">
        <v>6.0</v>
      </c>
      <c r="M104" s="2" t="s">
        <v>19</v>
      </c>
      <c r="N104" s="2">
        <v>1.0</v>
      </c>
    </row>
    <row r="105">
      <c r="A105" s="2">
        <v>104.0</v>
      </c>
      <c r="B105" s="3">
        <v>45643.0</v>
      </c>
      <c r="C105" s="3">
        <v>45657.0</v>
      </c>
      <c r="D105" s="3" t="s">
        <v>14</v>
      </c>
      <c r="E105" s="2">
        <v>14.0</v>
      </c>
      <c r="F105" s="2" t="s">
        <v>31</v>
      </c>
      <c r="G105" s="2" t="s">
        <v>35</v>
      </c>
      <c r="H105" s="2">
        <v>2.0</v>
      </c>
      <c r="I105" s="2">
        <v>2.0</v>
      </c>
      <c r="J105" s="2" t="s">
        <v>38</v>
      </c>
      <c r="K105" s="2" t="s">
        <v>34</v>
      </c>
      <c r="L105" s="2">
        <v>1.0</v>
      </c>
      <c r="M105" s="2" t="s">
        <v>19</v>
      </c>
      <c r="N105" s="2">
        <v>2.0</v>
      </c>
    </row>
    <row r="106">
      <c r="A106" s="2">
        <v>105.0</v>
      </c>
      <c r="B106" s="3">
        <v>45709.0</v>
      </c>
      <c r="C106" s="3">
        <v>45725.0</v>
      </c>
      <c r="D106" s="3" t="s">
        <v>14</v>
      </c>
      <c r="E106" s="2">
        <v>16.0</v>
      </c>
      <c r="F106" s="2" t="s">
        <v>20</v>
      </c>
      <c r="G106" s="2" t="s">
        <v>48</v>
      </c>
      <c r="H106" s="2">
        <v>1.0</v>
      </c>
      <c r="I106" s="2">
        <v>1.0</v>
      </c>
      <c r="J106" s="2" t="s">
        <v>67</v>
      </c>
      <c r="K106" s="2" t="s">
        <v>39</v>
      </c>
      <c r="L106" s="2">
        <v>5.0</v>
      </c>
      <c r="M106" s="2" t="s">
        <v>24</v>
      </c>
      <c r="N106" s="2">
        <v>6.0</v>
      </c>
    </row>
    <row r="107">
      <c r="A107" s="2">
        <v>106.0</v>
      </c>
      <c r="B107" s="3">
        <v>45606.0</v>
      </c>
      <c r="C107" s="3">
        <v>45609.0</v>
      </c>
      <c r="D107" s="3" t="s">
        <v>14</v>
      </c>
      <c r="E107" s="2">
        <v>3.0</v>
      </c>
      <c r="F107" s="2" t="s">
        <v>15</v>
      </c>
      <c r="G107" s="2" t="s">
        <v>16</v>
      </c>
      <c r="H107" s="2">
        <v>2.0</v>
      </c>
      <c r="I107" s="2">
        <v>1.0</v>
      </c>
      <c r="J107" s="2" t="s">
        <v>63</v>
      </c>
      <c r="K107" s="2" t="s">
        <v>23</v>
      </c>
      <c r="L107" s="2">
        <v>4.0</v>
      </c>
      <c r="M107" s="2" t="s">
        <v>19</v>
      </c>
      <c r="N107" s="2">
        <v>6.0</v>
      </c>
    </row>
    <row r="108">
      <c r="A108" s="2">
        <v>107.0</v>
      </c>
      <c r="B108" s="3">
        <v>45462.0</v>
      </c>
      <c r="C108" s="3">
        <v>45478.0</v>
      </c>
      <c r="D108" s="3" t="s">
        <v>14</v>
      </c>
      <c r="E108" s="2">
        <v>16.0</v>
      </c>
      <c r="F108" s="2" t="s">
        <v>25</v>
      </c>
      <c r="G108" s="2" t="s">
        <v>59</v>
      </c>
      <c r="H108" s="2">
        <v>2.0</v>
      </c>
      <c r="I108" s="2">
        <v>2.0</v>
      </c>
      <c r="J108" s="2" t="s">
        <v>57</v>
      </c>
      <c r="K108" s="2" t="s">
        <v>34</v>
      </c>
      <c r="L108" s="2">
        <v>3.0</v>
      </c>
      <c r="M108" s="2" t="s">
        <v>24</v>
      </c>
      <c r="N108" s="2">
        <v>3.0</v>
      </c>
    </row>
    <row r="109">
      <c r="A109" s="2">
        <v>108.0</v>
      </c>
      <c r="B109" s="3">
        <v>45301.0</v>
      </c>
      <c r="C109" s="3">
        <v>45315.0</v>
      </c>
      <c r="D109" s="3" t="s">
        <v>14</v>
      </c>
      <c r="E109" s="2">
        <v>14.0</v>
      </c>
      <c r="F109" s="2" t="s">
        <v>42</v>
      </c>
      <c r="G109" s="2" t="s">
        <v>43</v>
      </c>
      <c r="H109" s="2">
        <v>1.0</v>
      </c>
      <c r="I109" s="2">
        <v>1.0</v>
      </c>
      <c r="J109" s="2" t="s">
        <v>40</v>
      </c>
      <c r="K109" s="2" t="s">
        <v>39</v>
      </c>
      <c r="L109" s="2">
        <v>3.0</v>
      </c>
      <c r="M109" s="2" t="s">
        <v>19</v>
      </c>
      <c r="N109" s="2">
        <v>2.0</v>
      </c>
    </row>
    <row r="110">
      <c r="A110" s="2">
        <v>109.0</v>
      </c>
      <c r="B110" s="3">
        <v>45486.0</v>
      </c>
      <c r="C110" s="3">
        <v>45494.0</v>
      </c>
      <c r="D110" s="3" t="s">
        <v>14</v>
      </c>
      <c r="E110" s="2">
        <v>8.0</v>
      </c>
      <c r="F110" s="2" t="s">
        <v>42</v>
      </c>
      <c r="G110" s="2" t="s">
        <v>65</v>
      </c>
      <c r="H110" s="2">
        <v>1.0</v>
      </c>
      <c r="I110" s="2">
        <v>1.0</v>
      </c>
      <c r="J110" s="2" t="s">
        <v>62</v>
      </c>
      <c r="K110" s="2" t="s">
        <v>28</v>
      </c>
      <c r="L110" s="2">
        <v>6.0</v>
      </c>
      <c r="M110" s="2" t="s">
        <v>24</v>
      </c>
      <c r="N110" s="2">
        <v>2.0</v>
      </c>
    </row>
    <row r="111">
      <c r="A111" s="2">
        <v>110.0</v>
      </c>
      <c r="B111" s="3">
        <v>45386.0</v>
      </c>
      <c r="C111" s="3">
        <v>45389.0</v>
      </c>
      <c r="D111" s="3" t="s">
        <v>14</v>
      </c>
      <c r="E111" s="2">
        <v>3.0</v>
      </c>
      <c r="F111" s="2" t="s">
        <v>45</v>
      </c>
      <c r="G111" s="2" t="s">
        <v>56</v>
      </c>
      <c r="H111" s="2">
        <v>4.0</v>
      </c>
      <c r="I111" s="2">
        <v>1.0</v>
      </c>
      <c r="J111" s="2" t="s">
        <v>62</v>
      </c>
      <c r="K111" s="2" t="s">
        <v>18</v>
      </c>
      <c r="L111" s="2">
        <v>3.0</v>
      </c>
      <c r="M111" s="2" t="s">
        <v>19</v>
      </c>
      <c r="N111" s="2">
        <v>2.0</v>
      </c>
    </row>
    <row r="112">
      <c r="A112" s="2">
        <v>111.0</v>
      </c>
      <c r="B112" s="3">
        <v>45383.0</v>
      </c>
      <c r="C112" s="3">
        <v>45390.0</v>
      </c>
      <c r="D112" s="3" t="s">
        <v>14</v>
      </c>
      <c r="E112" s="2">
        <v>7.0</v>
      </c>
      <c r="F112" s="2" t="s">
        <v>42</v>
      </c>
      <c r="G112" s="2" t="s">
        <v>53</v>
      </c>
      <c r="H112" s="2">
        <v>2.0</v>
      </c>
      <c r="I112" s="2">
        <v>1.0</v>
      </c>
      <c r="J112" s="2" t="s">
        <v>36</v>
      </c>
      <c r="K112" s="2" t="s">
        <v>23</v>
      </c>
      <c r="L112" s="2">
        <v>4.0</v>
      </c>
      <c r="M112" s="2" t="s">
        <v>24</v>
      </c>
      <c r="N112" s="2">
        <v>1.0</v>
      </c>
    </row>
    <row r="113">
      <c r="A113" s="2">
        <v>112.0</v>
      </c>
      <c r="B113" s="3">
        <v>45477.0</v>
      </c>
      <c r="C113" s="3">
        <v>45486.0</v>
      </c>
      <c r="D113" s="3" t="s">
        <v>14</v>
      </c>
      <c r="E113" s="2">
        <v>9.0</v>
      </c>
      <c r="F113" s="2" t="s">
        <v>42</v>
      </c>
      <c r="G113" s="2" t="s">
        <v>43</v>
      </c>
      <c r="H113" s="2">
        <v>1.0</v>
      </c>
      <c r="I113" s="2">
        <v>1.0</v>
      </c>
      <c r="J113" s="2" t="s">
        <v>36</v>
      </c>
      <c r="K113" s="2" t="s">
        <v>18</v>
      </c>
      <c r="L113" s="2">
        <v>2.0</v>
      </c>
      <c r="M113" s="2" t="s">
        <v>19</v>
      </c>
      <c r="N113" s="2">
        <v>4.0</v>
      </c>
    </row>
    <row r="114">
      <c r="A114" s="2">
        <v>113.0</v>
      </c>
      <c r="B114" s="3">
        <v>45503.0</v>
      </c>
      <c r="C114" s="3">
        <v>45516.0</v>
      </c>
      <c r="D114" s="3" t="s">
        <v>14</v>
      </c>
      <c r="E114" s="2">
        <v>13.0</v>
      </c>
      <c r="F114" s="2" t="s">
        <v>15</v>
      </c>
      <c r="G114" s="2" t="s">
        <v>16</v>
      </c>
      <c r="H114" s="2">
        <v>3.0</v>
      </c>
      <c r="I114" s="2">
        <v>1.0</v>
      </c>
      <c r="J114" s="2" t="s">
        <v>64</v>
      </c>
      <c r="K114" s="2" t="s">
        <v>28</v>
      </c>
      <c r="L114" s="2">
        <v>2.0</v>
      </c>
      <c r="M114" s="2" t="s">
        <v>19</v>
      </c>
      <c r="N114" s="2">
        <v>6.0</v>
      </c>
    </row>
    <row r="115">
      <c r="A115" s="2">
        <v>114.0</v>
      </c>
      <c r="B115" s="3">
        <v>45513.0</v>
      </c>
      <c r="C115" s="3">
        <v>45515.0</v>
      </c>
      <c r="D115" s="3" t="s">
        <v>14</v>
      </c>
      <c r="E115" s="2">
        <v>2.0</v>
      </c>
      <c r="F115" s="2" t="s">
        <v>15</v>
      </c>
      <c r="G115" s="2" t="s">
        <v>16</v>
      </c>
      <c r="H115" s="2">
        <v>3.0</v>
      </c>
      <c r="I115" s="2">
        <v>1.0</v>
      </c>
      <c r="J115" s="2" t="s">
        <v>33</v>
      </c>
      <c r="K115" s="2" t="s">
        <v>23</v>
      </c>
      <c r="L115" s="2">
        <v>4.0</v>
      </c>
      <c r="M115" s="2" t="s">
        <v>19</v>
      </c>
      <c r="N115" s="2">
        <v>4.0</v>
      </c>
    </row>
    <row r="116">
      <c r="A116" s="2">
        <v>115.0</v>
      </c>
      <c r="B116" s="3">
        <v>45403.0</v>
      </c>
      <c r="C116" s="3">
        <v>45417.0</v>
      </c>
      <c r="D116" s="3" t="s">
        <v>14</v>
      </c>
      <c r="E116" s="2">
        <v>14.0</v>
      </c>
      <c r="F116" s="2" t="s">
        <v>31</v>
      </c>
      <c r="G116" s="2" t="s">
        <v>69</v>
      </c>
      <c r="H116" s="2">
        <v>3.0</v>
      </c>
      <c r="I116" s="2">
        <v>1.0</v>
      </c>
      <c r="J116" s="2" t="s">
        <v>58</v>
      </c>
      <c r="K116" s="2" t="s">
        <v>28</v>
      </c>
      <c r="L116" s="2">
        <v>6.0</v>
      </c>
      <c r="M116" s="2" t="s">
        <v>24</v>
      </c>
      <c r="N116" s="2">
        <v>2.0</v>
      </c>
    </row>
    <row r="117">
      <c r="A117" s="2">
        <v>116.0</v>
      </c>
      <c r="B117" s="3">
        <v>45750.0</v>
      </c>
      <c r="C117" s="3">
        <v>45766.0</v>
      </c>
      <c r="D117" s="3" t="s">
        <v>14</v>
      </c>
      <c r="E117" s="2">
        <v>16.0</v>
      </c>
      <c r="F117" s="2" t="s">
        <v>25</v>
      </c>
      <c r="G117" s="2" t="s">
        <v>26</v>
      </c>
      <c r="H117" s="2">
        <v>1.0</v>
      </c>
      <c r="I117" s="2">
        <v>1.0</v>
      </c>
      <c r="J117" s="2" t="s">
        <v>62</v>
      </c>
      <c r="K117" s="2" t="s">
        <v>23</v>
      </c>
      <c r="L117" s="2">
        <v>5.0</v>
      </c>
      <c r="M117" s="2" t="s">
        <v>19</v>
      </c>
      <c r="N117" s="2">
        <v>4.0</v>
      </c>
    </row>
    <row r="118">
      <c r="A118" s="2">
        <v>117.0</v>
      </c>
      <c r="B118" s="3">
        <v>45824.0</v>
      </c>
      <c r="C118" s="3" t="s">
        <v>29</v>
      </c>
      <c r="D118" s="3" t="s">
        <v>30</v>
      </c>
      <c r="E118" s="2" t="s">
        <v>29</v>
      </c>
      <c r="F118" s="2" t="s">
        <v>25</v>
      </c>
      <c r="G118" s="2" t="s">
        <v>26</v>
      </c>
      <c r="H118" s="2">
        <v>3.0</v>
      </c>
      <c r="I118" s="2" t="s">
        <v>29</v>
      </c>
      <c r="J118" s="2" t="s">
        <v>55</v>
      </c>
      <c r="K118" s="2" t="s">
        <v>23</v>
      </c>
      <c r="L118" s="2">
        <v>2.0</v>
      </c>
      <c r="M118" s="2" t="s">
        <v>19</v>
      </c>
      <c r="N118" s="2">
        <v>6.0</v>
      </c>
    </row>
    <row r="119">
      <c r="A119" s="2">
        <v>118.0</v>
      </c>
      <c r="B119" s="3">
        <v>45582.0</v>
      </c>
      <c r="C119" s="3">
        <v>45590.0</v>
      </c>
      <c r="D119" s="3" t="s">
        <v>14</v>
      </c>
      <c r="E119" s="2">
        <v>8.0</v>
      </c>
      <c r="F119" s="2" t="s">
        <v>45</v>
      </c>
      <c r="G119" s="2" t="s">
        <v>70</v>
      </c>
      <c r="H119" s="2">
        <v>3.0</v>
      </c>
      <c r="I119" s="2">
        <v>1.0</v>
      </c>
      <c r="J119" s="2" t="s">
        <v>27</v>
      </c>
      <c r="K119" s="2" t="s">
        <v>60</v>
      </c>
      <c r="L119" s="2">
        <v>4.0</v>
      </c>
      <c r="M119" s="2" t="s">
        <v>19</v>
      </c>
      <c r="N119" s="2">
        <v>1.0</v>
      </c>
    </row>
    <row r="120">
      <c r="A120" s="2">
        <v>119.0</v>
      </c>
      <c r="B120" s="3">
        <v>45741.0</v>
      </c>
      <c r="C120" s="3">
        <v>45745.0</v>
      </c>
      <c r="D120" s="3" t="s">
        <v>14</v>
      </c>
      <c r="E120" s="2">
        <v>4.0</v>
      </c>
      <c r="F120" s="2" t="s">
        <v>42</v>
      </c>
      <c r="G120" s="2" t="s">
        <v>53</v>
      </c>
      <c r="H120" s="2">
        <v>4.0</v>
      </c>
      <c r="I120" s="2">
        <v>1.0</v>
      </c>
      <c r="J120" s="2" t="s">
        <v>62</v>
      </c>
      <c r="K120" s="2" t="s">
        <v>18</v>
      </c>
      <c r="L120" s="2">
        <v>5.0</v>
      </c>
      <c r="M120" s="2" t="s">
        <v>19</v>
      </c>
      <c r="N120" s="2">
        <v>1.0</v>
      </c>
    </row>
    <row r="121">
      <c r="A121" s="2">
        <v>120.0</v>
      </c>
      <c r="B121" s="3">
        <v>45792.0</v>
      </c>
      <c r="C121" s="3">
        <v>45802.0</v>
      </c>
      <c r="D121" s="3" t="s">
        <v>14</v>
      </c>
      <c r="E121" s="2">
        <v>10.0</v>
      </c>
      <c r="F121" s="2" t="s">
        <v>25</v>
      </c>
      <c r="G121" s="2" t="s">
        <v>68</v>
      </c>
      <c r="H121" s="2">
        <v>4.0</v>
      </c>
      <c r="I121" s="2">
        <v>2.0</v>
      </c>
      <c r="J121" s="2" t="s">
        <v>67</v>
      </c>
      <c r="K121" s="2" t="s">
        <v>28</v>
      </c>
      <c r="L121" s="2">
        <v>4.0</v>
      </c>
      <c r="M121" s="2" t="s">
        <v>19</v>
      </c>
      <c r="N121" s="2">
        <v>2.0</v>
      </c>
    </row>
    <row r="122">
      <c r="A122" s="2">
        <v>121.0</v>
      </c>
      <c r="B122" s="3">
        <v>45500.0</v>
      </c>
      <c r="C122" s="3">
        <v>45511.0</v>
      </c>
      <c r="D122" s="3" t="s">
        <v>14</v>
      </c>
      <c r="E122" s="2">
        <v>11.0</v>
      </c>
      <c r="F122" s="2" t="s">
        <v>25</v>
      </c>
      <c r="G122" s="2" t="s">
        <v>68</v>
      </c>
      <c r="H122" s="2">
        <v>2.0</v>
      </c>
      <c r="I122" s="2">
        <v>2.0</v>
      </c>
      <c r="J122" s="2" t="s">
        <v>55</v>
      </c>
      <c r="K122" s="2" t="s">
        <v>18</v>
      </c>
      <c r="L122" s="2">
        <v>5.0</v>
      </c>
      <c r="M122" s="2" t="s">
        <v>19</v>
      </c>
      <c r="N122" s="2">
        <v>4.0</v>
      </c>
    </row>
    <row r="123">
      <c r="A123" s="2">
        <v>122.0</v>
      </c>
      <c r="B123" s="3">
        <v>45651.0</v>
      </c>
      <c r="C123" s="3">
        <v>45665.0</v>
      </c>
      <c r="D123" s="3" t="s">
        <v>14</v>
      </c>
      <c r="E123" s="2">
        <v>14.0</v>
      </c>
      <c r="F123" s="2" t="s">
        <v>42</v>
      </c>
      <c r="G123" s="2" t="s">
        <v>50</v>
      </c>
      <c r="H123" s="2">
        <v>4.0</v>
      </c>
      <c r="I123" s="2">
        <v>3.0</v>
      </c>
      <c r="J123" s="2" t="s">
        <v>63</v>
      </c>
      <c r="K123" s="2" t="s">
        <v>23</v>
      </c>
      <c r="L123" s="2">
        <v>4.0</v>
      </c>
      <c r="M123" s="2" t="s">
        <v>19</v>
      </c>
      <c r="N123" s="2">
        <v>6.0</v>
      </c>
    </row>
    <row r="124">
      <c r="A124" s="2">
        <v>123.0</v>
      </c>
      <c r="B124" s="3">
        <v>45460.0</v>
      </c>
      <c r="C124" s="3">
        <v>45474.0</v>
      </c>
      <c r="D124" s="3" t="s">
        <v>14</v>
      </c>
      <c r="E124" s="2">
        <v>14.0</v>
      </c>
      <c r="F124" s="2" t="s">
        <v>45</v>
      </c>
      <c r="G124" s="2" t="s">
        <v>56</v>
      </c>
      <c r="H124" s="2">
        <v>4.0</v>
      </c>
      <c r="I124" s="2">
        <v>3.0</v>
      </c>
      <c r="J124" s="2" t="s">
        <v>55</v>
      </c>
      <c r="K124" s="2" t="s">
        <v>34</v>
      </c>
      <c r="L124" s="2">
        <v>2.0</v>
      </c>
      <c r="M124" s="2" t="s">
        <v>19</v>
      </c>
      <c r="N124" s="2">
        <v>2.0</v>
      </c>
    </row>
    <row r="125">
      <c r="A125" s="2">
        <v>124.0</v>
      </c>
      <c r="B125" s="3">
        <v>45709.0</v>
      </c>
      <c r="C125" s="3">
        <v>45714.0</v>
      </c>
      <c r="D125" s="3" t="s">
        <v>14</v>
      </c>
      <c r="E125" s="2">
        <v>5.0</v>
      </c>
      <c r="F125" s="2" t="s">
        <v>31</v>
      </c>
      <c r="G125" s="2" t="s">
        <v>69</v>
      </c>
      <c r="H125" s="2">
        <v>1.0</v>
      </c>
      <c r="I125" s="2">
        <v>1.0</v>
      </c>
      <c r="J125" s="2" t="s">
        <v>47</v>
      </c>
      <c r="K125" s="2" t="s">
        <v>39</v>
      </c>
      <c r="L125" s="2">
        <v>6.0</v>
      </c>
      <c r="M125" s="2" t="s">
        <v>24</v>
      </c>
      <c r="N125" s="2">
        <v>3.0</v>
      </c>
    </row>
    <row r="126">
      <c r="A126" s="2">
        <v>125.0</v>
      </c>
      <c r="B126" s="3">
        <v>45402.0</v>
      </c>
      <c r="C126" s="3">
        <v>45419.0</v>
      </c>
      <c r="D126" s="3" t="s">
        <v>14</v>
      </c>
      <c r="E126" s="2">
        <v>17.0</v>
      </c>
      <c r="F126" s="2" t="s">
        <v>20</v>
      </c>
      <c r="G126" s="2" t="s">
        <v>48</v>
      </c>
      <c r="H126" s="2">
        <v>4.0</v>
      </c>
      <c r="I126" s="2">
        <v>4.0</v>
      </c>
      <c r="J126" s="2" t="s">
        <v>67</v>
      </c>
      <c r="K126" s="2" t="s">
        <v>23</v>
      </c>
      <c r="L126" s="2">
        <v>6.0</v>
      </c>
      <c r="M126" s="2" t="s">
        <v>19</v>
      </c>
      <c r="N126" s="2">
        <v>5.0</v>
      </c>
    </row>
    <row r="127">
      <c r="A127" s="2">
        <v>126.0</v>
      </c>
      <c r="B127" s="3">
        <v>45665.0</v>
      </c>
      <c r="C127" s="3">
        <v>45674.0</v>
      </c>
      <c r="D127" s="3" t="s">
        <v>14</v>
      </c>
      <c r="E127" s="2">
        <v>9.0</v>
      </c>
      <c r="F127" s="2" t="s">
        <v>42</v>
      </c>
      <c r="G127" s="2" t="s">
        <v>50</v>
      </c>
      <c r="H127" s="2">
        <v>4.0</v>
      </c>
      <c r="I127" s="2">
        <v>1.0</v>
      </c>
      <c r="J127" s="2" t="s">
        <v>40</v>
      </c>
      <c r="K127" s="2" t="s">
        <v>18</v>
      </c>
      <c r="L127" s="2">
        <v>6.0</v>
      </c>
      <c r="M127" s="2" t="s">
        <v>24</v>
      </c>
      <c r="N127" s="2">
        <v>4.0</v>
      </c>
    </row>
    <row r="128">
      <c r="A128" s="2">
        <v>127.0</v>
      </c>
      <c r="B128" s="3">
        <v>45665.0</v>
      </c>
      <c r="C128" s="3">
        <v>45677.0</v>
      </c>
      <c r="D128" s="3" t="s">
        <v>14</v>
      </c>
      <c r="E128" s="2">
        <v>12.0</v>
      </c>
      <c r="F128" s="2" t="s">
        <v>15</v>
      </c>
      <c r="G128" s="2" t="s">
        <v>16</v>
      </c>
      <c r="H128" s="2">
        <v>1.0</v>
      </c>
      <c r="I128" s="2">
        <v>1.0</v>
      </c>
      <c r="J128" s="2" t="s">
        <v>51</v>
      </c>
      <c r="K128" s="2" t="s">
        <v>60</v>
      </c>
      <c r="L128" s="2">
        <v>6.0</v>
      </c>
      <c r="M128" s="2" t="s">
        <v>24</v>
      </c>
      <c r="N128" s="2">
        <v>6.0</v>
      </c>
    </row>
    <row r="129">
      <c r="A129" s="2">
        <v>128.0</v>
      </c>
      <c r="B129" s="3">
        <v>45632.0</v>
      </c>
      <c r="C129" s="3">
        <v>45637.0</v>
      </c>
      <c r="D129" s="3" t="s">
        <v>14</v>
      </c>
      <c r="E129" s="2">
        <v>5.0</v>
      </c>
      <c r="F129" s="2" t="s">
        <v>42</v>
      </c>
      <c r="G129" s="2" t="s">
        <v>50</v>
      </c>
      <c r="H129" s="2">
        <v>3.0</v>
      </c>
      <c r="I129" s="2">
        <v>3.0</v>
      </c>
      <c r="J129" s="2" t="s">
        <v>55</v>
      </c>
      <c r="K129" s="2" t="s">
        <v>60</v>
      </c>
      <c r="L129" s="2">
        <v>2.0</v>
      </c>
      <c r="M129" s="2" t="s">
        <v>19</v>
      </c>
      <c r="N129" s="2">
        <v>6.0</v>
      </c>
    </row>
    <row r="130">
      <c r="A130" s="2">
        <v>129.0</v>
      </c>
      <c r="B130" s="3">
        <v>45654.0</v>
      </c>
      <c r="C130" s="3" t="s">
        <v>29</v>
      </c>
      <c r="D130" s="3" t="s">
        <v>30</v>
      </c>
      <c r="E130" s="2" t="s">
        <v>29</v>
      </c>
      <c r="F130" s="2" t="s">
        <v>31</v>
      </c>
      <c r="G130" s="2" t="s">
        <v>69</v>
      </c>
      <c r="H130" s="2">
        <v>1.0</v>
      </c>
      <c r="I130" s="2" t="s">
        <v>29</v>
      </c>
      <c r="J130" s="2" t="s">
        <v>36</v>
      </c>
      <c r="K130" s="2" t="s">
        <v>23</v>
      </c>
      <c r="L130" s="2">
        <v>2.0</v>
      </c>
      <c r="M130" s="2" t="s">
        <v>19</v>
      </c>
      <c r="N130" s="2">
        <v>2.0</v>
      </c>
    </row>
    <row r="131">
      <c r="A131" s="2">
        <v>130.0</v>
      </c>
      <c r="B131" s="3">
        <v>45793.0</v>
      </c>
      <c r="C131" s="3">
        <v>45838.0</v>
      </c>
      <c r="D131" s="3" t="s">
        <v>14</v>
      </c>
      <c r="E131" s="2">
        <v>45.0</v>
      </c>
      <c r="F131" s="2" t="s">
        <v>42</v>
      </c>
      <c r="G131" s="2" t="s">
        <v>53</v>
      </c>
      <c r="H131" s="2">
        <v>2.0</v>
      </c>
      <c r="I131" s="2">
        <v>2.0</v>
      </c>
      <c r="J131" s="2" t="s">
        <v>38</v>
      </c>
      <c r="K131" s="2" t="s">
        <v>18</v>
      </c>
      <c r="L131" s="2">
        <v>3.0</v>
      </c>
      <c r="M131" s="2" t="s">
        <v>24</v>
      </c>
      <c r="N131" s="2">
        <v>2.0</v>
      </c>
    </row>
    <row r="132">
      <c r="A132" s="2">
        <v>131.0</v>
      </c>
      <c r="B132" s="3">
        <v>45743.0</v>
      </c>
      <c r="C132" s="3">
        <v>45764.0</v>
      </c>
      <c r="D132" s="3" t="s">
        <v>14</v>
      </c>
      <c r="E132" s="2">
        <v>21.0</v>
      </c>
      <c r="F132" s="2" t="s">
        <v>25</v>
      </c>
      <c r="G132" s="2" t="s">
        <v>26</v>
      </c>
      <c r="H132" s="2">
        <v>1.0</v>
      </c>
      <c r="I132" s="2">
        <v>1.0</v>
      </c>
      <c r="J132" s="2" t="s">
        <v>49</v>
      </c>
      <c r="K132" s="2" t="s">
        <v>28</v>
      </c>
      <c r="L132" s="2">
        <v>4.0</v>
      </c>
      <c r="M132" s="2" t="s">
        <v>24</v>
      </c>
      <c r="N132" s="2">
        <v>2.0</v>
      </c>
    </row>
    <row r="133">
      <c r="A133" s="2">
        <v>132.0</v>
      </c>
      <c r="B133" s="3">
        <v>45592.0</v>
      </c>
      <c r="C133" s="3">
        <v>45631.0</v>
      </c>
      <c r="D133" s="3" t="s">
        <v>14</v>
      </c>
      <c r="E133" s="2">
        <v>39.0</v>
      </c>
      <c r="F133" s="2" t="s">
        <v>45</v>
      </c>
      <c r="G133" s="2" t="s">
        <v>46</v>
      </c>
      <c r="H133" s="2">
        <v>4.0</v>
      </c>
      <c r="I133" s="2">
        <v>3.0</v>
      </c>
      <c r="J133" s="2" t="s">
        <v>22</v>
      </c>
      <c r="K133" s="2" t="s">
        <v>34</v>
      </c>
      <c r="L133" s="2">
        <v>6.0</v>
      </c>
      <c r="M133" s="2" t="s">
        <v>24</v>
      </c>
      <c r="N133" s="2">
        <v>6.0</v>
      </c>
    </row>
    <row r="134">
      <c r="A134" s="2">
        <v>133.0</v>
      </c>
      <c r="B134" s="3">
        <v>45598.0</v>
      </c>
      <c r="C134" s="3" t="s">
        <v>29</v>
      </c>
      <c r="D134" s="3" t="s">
        <v>52</v>
      </c>
      <c r="E134" s="2" t="s">
        <v>29</v>
      </c>
      <c r="F134" s="2" t="s">
        <v>20</v>
      </c>
      <c r="G134" s="2" t="s">
        <v>48</v>
      </c>
      <c r="H134" s="2">
        <v>3.0</v>
      </c>
      <c r="I134" s="2" t="s">
        <v>29</v>
      </c>
      <c r="J134" s="2" t="s">
        <v>58</v>
      </c>
      <c r="K134" s="2" t="s">
        <v>39</v>
      </c>
      <c r="L134" s="2">
        <v>5.0</v>
      </c>
      <c r="M134" s="2" t="s">
        <v>24</v>
      </c>
      <c r="N134" s="2">
        <v>3.0</v>
      </c>
    </row>
    <row r="135">
      <c r="A135" s="2">
        <v>134.0</v>
      </c>
      <c r="B135" s="3">
        <v>45733.0</v>
      </c>
      <c r="C135" s="3" t="s">
        <v>29</v>
      </c>
      <c r="D135" s="3" t="s">
        <v>52</v>
      </c>
      <c r="E135" s="2" t="s">
        <v>29</v>
      </c>
      <c r="F135" s="2" t="s">
        <v>42</v>
      </c>
      <c r="G135" s="2" t="s">
        <v>53</v>
      </c>
      <c r="H135" s="2">
        <v>3.0</v>
      </c>
      <c r="I135" s="2" t="s">
        <v>29</v>
      </c>
      <c r="J135" s="2" t="s">
        <v>58</v>
      </c>
      <c r="K135" s="2" t="s">
        <v>60</v>
      </c>
      <c r="L135" s="2">
        <v>3.0</v>
      </c>
      <c r="M135" s="2" t="s">
        <v>24</v>
      </c>
      <c r="N135" s="2">
        <v>4.0</v>
      </c>
    </row>
    <row r="136">
      <c r="A136" s="2">
        <v>135.0</v>
      </c>
      <c r="B136" s="3">
        <v>45789.0</v>
      </c>
      <c r="C136" s="3">
        <v>45795.0</v>
      </c>
      <c r="D136" s="3" t="s">
        <v>14</v>
      </c>
      <c r="E136" s="2">
        <v>6.0</v>
      </c>
      <c r="F136" s="2" t="s">
        <v>42</v>
      </c>
      <c r="G136" s="2" t="s">
        <v>50</v>
      </c>
      <c r="H136" s="2">
        <v>4.0</v>
      </c>
      <c r="I136" s="2">
        <v>1.0</v>
      </c>
      <c r="J136" s="2" t="s">
        <v>36</v>
      </c>
      <c r="K136" s="2" t="s">
        <v>23</v>
      </c>
      <c r="L136" s="2">
        <v>5.0</v>
      </c>
      <c r="M136" s="2" t="s">
        <v>24</v>
      </c>
      <c r="N136" s="2">
        <v>4.0</v>
      </c>
    </row>
    <row r="137">
      <c r="A137" s="2">
        <v>136.0</v>
      </c>
      <c r="B137" s="3">
        <v>45568.0</v>
      </c>
      <c r="C137" s="3">
        <v>45570.0</v>
      </c>
      <c r="D137" s="3" t="s">
        <v>14</v>
      </c>
      <c r="E137" s="2">
        <v>2.0</v>
      </c>
      <c r="F137" s="2" t="s">
        <v>31</v>
      </c>
      <c r="G137" s="2" t="s">
        <v>54</v>
      </c>
      <c r="H137" s="2">
        <v>2.0</v>
      </c>
      <c r="I137" s="2">
        <v>1.0</v>
      </c>
      <c r="J137" s="2" t="s">
        <v>63</v>
      </c>
      <c r="K137" s="2" t="s">
        <v>28</v>
      </c>
      <c r="L137" s="2">
        <v>2.0</v>
      </c>
      <c r="M137" s="2" t="s">
        <v>24</v>
      </c>
      <c r="N137" s="2">
        <v>5.0</v>
      </c>
    </row>
    <row r="138">
      <c r="A138" s="2">
        <v>137.0</v>
      </c>
      <c r="B138" s="3">
        <v>45310.0</v>
      </c>
      <c r="C138" s="3">
        <v>45350.0</v>
      </c>
      <c r="D138" s="3" t="s">
        <v>14</v>
      </c>
      <c r="E138" s="2">
        <v>40.0</v>
      </c>
      <c r="F138" s="2" t="s">
        <v>42</v>
      </c>
      <c r="G138" s="2" t="s">
        <v>65</v>
      </c>
      <c r="H138" s="2">
        <v>3.0</v>
      </c>
      <c r="I138" s="2">
        <v>3.0</v>
      </c>
      <c r="J138" s="2" t="s">
        <v>22</v>
      </c>
      <c r="K138" s="2" t="s">
        <v>18</v>
      </c>
      <c r="L138" s="2">
        <v>5.0</v>
      </c>
      <c r="M138" s="2" t="s">
        <v>19</v>
      </c>
      <c r="N138" s="2">
        <v>6.0</v>
      </c>
    </row>
    <row r="139">
      <c r="A139" s="2">
        <v>138.0</v>
      </c>
      <c r="B139" s="3">
        <v>45788.0</v>
      </c>
      <c r="C139" s="3">
        <v>45799.0</v>
      </c>
      <c r="D139" s="3" t="s">
        <v>14</v>
      </c>
      <c r="E139" s="2">
        <v>11.0</v>
      </c>
      <c r="F139" s="2" t="s">
        <v>25</v>
      </c>
      <c r="G139" s="2" t="s">
        <v>61</v>
      </c>
      <c r="H139" s="2">
        <v>1.0</v>
      </c>
      <c r="I139" s="2">
        <v>1.0</v>
      </c>
      <c r="J139" s="2" t="s">
        <v>51</v>
      </c>
      <c r="K139" s="2" t="s">
        <v>18</v>
      </c>
      <c r="L139" s="2">
        <v>1.0</v>
      </c>
      <c r="M139" s="2" t="s">
        <v>24</v>
      </c>
      <c r="N139" s="2">
        <v>3.0</v>
      </c>
    </row>
    <row r="140">
      <c r="A140" s="2">
        <v>139.0</v>
      </c>
      <c r="B140" s="3">
        <v>45767.0</v>
      </c>
      <c r="C140" s="3">
        <v>45780.0</v>
      </c>
      <c r="D140" s="3" t="s">
        <v>14</v>
      </c>
      <c r="E140" s="2">
        <v>13.0</v>
      </c>
      <c r="F140" s="2" t="s">
        <v>31</v>
      </c>
      <c r="G140" s="2" t="s">
        <v>54</v>
      </c>
      <c r="H140" s="2">
        <v>3.0</v>
      </c>
      <c r="I140" s="2">
        <v>3.0</v>
      </c>
      <c r="J140" s="2" t="s">
        <v>47</v>
      </c>
      <c r="K140" s="2" t="s">
        <v>39</v>
      </c>
      <c r="L140" s="2">
        <v>4.0</v>
      </c>
      <c r="M140" s="2" t="s">
        <v>24</v>
      </c>
      <c r="N140" s="2">
        <v>1.0</v>
      </c>
    </row>
    <row r="141">
      <c r="A141" s="2">
        <v>140.0</v>
      </c>
      <c r="B141" s="3">
        <v>45622.0</v>
      </c>
      <c r="C141" s="3">
        <v>45629.0</v>
      </c>
      <c r="D141" s="3" t="s">
        <v>14</v>
      </c>
      <c r="E141" s="2">
        <v>7.0</v>
      </c>
      <c r="F141" s="2" t="s">
        <v>25</v>
      </c>
      <c r="G141" s="2" t="s">
        <v>61</v>
      </c>
      <c r="H141" s="2">
        <v>1.0</v>
      </c>
      <c r="I141" s="2">
        <v>1.0</v>
      </c>
      <c r="J141" s="2" t="s">
        <v>49</v>
      </c>
      <c r="K141" s="2" t="s">
        <v>39</v>
      </c>
      <c r="L141" s="2">
        <v>1.0</v>
      </c>
      <c r="M141" s="2" t="s">
        <v>19</v>
      </c>
      <c r="N141" s="2">
        <v>5.0</v>
      </c>
    </row>
    <row r="142">
      <c r="A142" s="2">
        <v>141.0</v>
      </c>
      <c r="B142" s="3">
        <v>45591.0</v>
      </c>
      <c r="C142" s="3">
        <v>45624.0</v>
      </c>
      <c r="D142" s="3" t="s">
        <v>14</v>
      </c>
      <c r="E142" s="2">
        <v>33.0</v>
      </c>
      <c r="F142" s="2" t="s">
        <v>42</v>
      </c>
      <c r="G142" s="2" t="s">
        <v>50</v>
      </c>
      <c r="H142" s="2">
        <v>3.0</v>
      </c>
      <c r="I142" s="2">
        <v>1.0</v>
      </c>
      <c r="J142" s="2" t="s">
        <v>55</v>
      </c>
      <c r="K142" s="2" t="s">
        <v>60</v>
      </c>
      <c r="L142" s="2">
        <v>2.0</v>
      </c>
      <c r="M142" s="2" t="s">
        <v>19</v>
      </c>
      <c r="N142" s="2">
        <v>3.0</v>
      </c>
    </row>
    <row r="143">
      <c r="A143" s="2">
        <v>142.0</v>
      </c>
      <c r="B143" s="3">
        <v>45317.0</v>
      </c>
      <c r="C143" s="3">
        <v>45318.0</v>
      </c>
      <c r="D143" s="3" t="s">
        <v>14</v>
      </c>
      <c r="E143" s="2">
        <v>1.0</v>
      </c>
      <c r="F143" s="2" t="s">
        <v>25</v>
      </c>
      <c r="G143" s="2" t="s">
        <v>68</v>
      </c>
      <c r="H143" s="2">
        <v>3.0</v>
      </c>
      <c r="I143" s="2">
        <v>1.0</v>
      </c>
      <c r="J143" s="2" t="s">
        <v>58</v>
      </c>
      <c r="K143" s="2" t="s">
        <v>60</v>
      </c>
      <c r="L143" s="2">
        <v>5.0</v>
      </c>
      <c r="M143" s="2" t="s">
        <v>24</v>
      </c>
      <c r="N143" s="2">
        <v>5.0</v>
      </c>
    </row>
    <row r="144">
      <c r="A144" s="2">
        <v>143.0</v>
      </c>
      <c r="B144" s="3">
        <v>45555.0</v>
      </c>
      <c r="C144" s="3">
        <v>45586.0</v>
      </c>
      <c r="D144" s="3" t="s">
        <v>14</v>
      </c>
      <c r="E144" s="2">
        <v>31.0</v>
      </c>
      <c r="F144" s="2" t="s">
        <v>45</v>
      </c>
      <c r="G144" s="2" t="s">
        <v>46</v>
      </c>
      <c r="H144" s="2">
        <v>4.0</v>
      </c>
      <c r="I144" s="2">
        <v>2.0</v>
      </c>
      <c r="J144" s="2" t="s">
        <v>44</v>
      </c>
      <c r="K144" s="2" t="s">
        <v>28</v>
      </c>
      <c r="L144" s="2">
        <v>1.0</v>
      </c>
      <c r="M144" s="2" t="s">
        <v>24</v>
      </c>
      <c r="N144" s="2">
        <v>2.0</v>
      </c>
    </row>
    <row r="145">
      <c r="A145" s="2">
        <v>144.0</v>
      </c>
      <c r="B145" s="3">
        <v>45723.0</v>
      </c>
      <c r="C145" s="3">
        <v>45725.0</v>
      </c>
      <c r="D145" s="3" t="s">
        <v>14</v>
      </c>
      <c r="E145" s="2">
        <v>2.0</v>
      </c>
      <c r="F145" s="2" t="s">
        <v>42</v>
      </c>
      <c r="G145" s="2" t="s">
        <v>50</v>
      </c>
      <c r="H145" s="2">
        <v>2.0</v>
      </c>
      <c r="I145" s="2">
        <v>1.0</v>
      </c>
      <c r="J145" s="2" t="s">
        <v>17</v>
      </c>
      <c r="K145" s="2" t="s">
        <v>34</v>
      </c>
      <c r="L145" s="2">
        <v>2.0</v>
      </c>
      <c r="M145" s="2" t="s">
        <v>19</v>
      </c>
      <c r="N145" s="2">
        <v>5.0</v>
      </c>
    </row>
    <row r="146">
      <c r="A146" s="2">
        <v>145.0</v>
      </c>
      <c r="B146" s="3">
        <v>45830.0</v>
      </c>
      <c r="C146" s="3">
        <v>45853.0</v>
      </c>
      <c r="D146" s="3" t="s">
        <v>14</v>
      </c>
      <c r="E146" s="2">
        <v>23.0</v>
      </c>
      <c r="F146" s="2" t="s">
        <v>15</v>
      </c>
      <c r="G146" s="2" t="s">
        <v>37</v>
      </c>
      <c r="H146" s="2">
        <v>4.0</v>
      </c>
      <c r="I146" s="2">
        <v>2.0</v>
      </c>
      <c r="J146" s="2" t="s">
        <v>51</v>
      </c>
      <c r="K146" s="2" t="s">
        <v>39</v>
      </c>
      <c r="L146" s="2">
        <v>5.0</v>
      </c>
      <c r="M146" s="2" t="s">
        <v>24</v>
      </c>
      <c r="N146" s="2">
        <v>2.0</v>
      </c>
    </row>
    <row r="147">
      <c r="A147" s="2">
        <v>146.0</v>
      </c>
      <c r="B147" s="3">
        <v>45709.0</v>
      </c>
      <c r="C147" s="3">
        <v>45717.0</v>
      </c>
      <c r="D147" s="3" t="s">
        <v>14</v>
      </c>
      <c r="E147" s="2">
        <v>8.0</v>
      </c>
      <c r="F147" s="2" t="s">
        <v>31</v>
      </c>
      <c r="G147" s="2" t="s">
        <v>32</v>
      </c>
      <c r="H147" s="2">
        <v>1.0</v>
      </c>
      <c r="I147" s="2">
        <v>1.0</v>
      </c>
      <c r="J147" s="2" t="s">
        <v>55</v>
      </c>
      <c r="K147" s="2" t="s">
        <v>60</v>
      </c>
      <c r="L147" s="2">
        <v>3.0</v>
      </c>
      <c r="M147" s="2" t="s">
        <v>19</v>
      </c>
      <c r="N147" s="2">
        <v>2.0</v>
      </c>
    </row>
    <row r="148">
      <c r="A148" s="2">
        <v>147.0</v>
      </c>
      <c r="B148" s="3">
        <v>45351.0</v>
      </c>
      <c r="C148" s="3" t="s">
        <v>29</v>
      </c>
      <c r="D148" s="3" t="s">
        <v>52</v>
      </c>
      <c r="E148" s="2" t="s">
        <v>29</v>
      </c>
      <c r="F148" s="2" t="s">
        <v>15</v>
      </c>
      <c r="G148" s="2" t="s">
        <v>37</v>
      </c>
      <c r="H148" s="2">
        <v>4.0</v>
      </c>
      <c r="I148" s="2" t="s">
        <v>29</v>
      </c>
      <c r="J148" s="2" t="s">
        <v>51</v>
      </c>
      <c r="K148" s="2" t="s">
        <v>18</v>
      </c>
      <c r="L148" s="2">
        <v>6.0</v>
      </c>
      <c r="M148" s="2" t="s">
        <v>24</v>
      </c>
      <c r="N148" s="2">
        <v>4.0</v>
      </c>
    </row>
    <row r="149">
      <c r="A149" s="2">
        <v>148.0</v>
      </c>
      <c r="B149" s="3">
        <v>45778.0</v>
      </c>
      <c r="C149" s="3">
        <v>45781.0</v>
      </c>
      <c r="D149" s="3" t="s">
        <v>14</v>
      </c>
      <c r="E149" s="2">
        <v>3.0</v>
      </c>
      <c r="F149" s="2" t="s">
        <v>42</v>
      </c>
      <c r="G149" s="2" t="s">
        <v>65</v>
      </c>
      <c r="H149" s="2">
        <v>4.0</v>
      </c>
      <c r="I149" s="2">
        <v>2.0</v>
      </c>
      <c r="J149" s="2" t="s">
        <v>67</v>
      </c>
      <c r="K149" s="2" t="s">
        <v>60</v>
      </c>
      <c r="L149" s="2">
        <v>1.0</v>
      </c>
      <c r="M149" s="2" t="s">
        <v>19</v>
      </c>
      <c r="N149" s="2">
        <v>4.0</v>
      </c>
    </row>
    <row r="150">
      <c r="A150" s="2">
        <v>149.0</v>
      </c>
      <c r="B150" s="3">
        <v>45734.0</v>
      </c>
      <c r="C150" s="3">
        <v>45741.0</v>
      </c>
      <c r="D150" s="3" t="s">
        <v>14</v>
      </c>
      <c r="E150" s="2">
        <v>7.0</v>
      </c>
      <c r="F150" s="2" t="s">
        <v>31</v>
      </c>
      <c r="G150" s="2" t="s">
        <v>69</v>
      </c>
      <c r="H150" s="2">
        <v>4.0</v>
      </c>
      <c r="I150" s="2">
        <v>1.0</v>
      </c>
      <c r="J150" s="2" t="s">
        <v>47</v>
      </c>
      <c r="K150" s="2" t="s">
        <v>28</v>
      </c>
      <c r="L150" s="2">
        <v>1.0</v>
      </c>
      <c r="M150" s="2" t="s">
        <v>24</v>
      </c>
      <c r="N150" s="2">
        <v>3.0</v>
      </c>
    </row>
    <row r="151">
      <c r="A151" s="2">
        <v>150.0</v>
      </c>
      <c r="B151" s="3">
        <v>45703.0</v>
      </c>
      <c r="C151" s="3">
        <v>45711.0</v>
      </c>
      <c r="D151" s="3" t="s">
        <v>14</v>
      </c>
      <c r="E151" s="2">
        <v>8.0</v>
      </c>
      <c r="F151" s="2" t="s">
        <v>25</v>
      </c>
      <c r="G151" s="2" t="s">
        <v>26</v>
      </c>
      <c r="H151" s="2">
        <v>3.0</v>
      </c>
      <c r="I151" s="2">
        <v>1.0</v>
      </c>
      <c r="J151" s="2" t="s">
        <v>51</v>
      </c>
      <c r="K151" s="2" t="s">
        <v>28</v>
      </c>
      <c r="L151" s="2">
        <v>5.0</v>
      </c>
      <c r="M151" s="2" t="s">
        <v>19</v>
      </c>
      <c r="N151" s="2">
        <v>5.0</v>
      </c>
    </row>
    <row r="152">
      <c r="A152" s="2">
        <v>151.0</v>
      </c>
      <c r="B152" s="3">
        <v>45490.0</v>
      </c>
      <c r="C152" s="3" t="s">
        <v>29</v>
      </c>
      <c r="D152" s="3" t="s">
        <v>52</v>
      </c>
      <c r="E152" s="2" t="s">
        <v>29</v>
      </c>
      <c r="F152" s="2" t="s">
        <v>42</v>
      </c>
      <c r="G152" s="2" t="s">
        <v>53</v>
      </c>
      <c r="H152" s="2">
        <v>3.0</v>
      </c>
      <c r="I152" s="2" t="s">
        <v>29</v>
      </c>
      <c r="J152" s="2" t="s">
        <v>55</v>
      </c>
      <c r="K152" s="2" t="s">
        <v>39</v>
      </c>
      <c r="L152" s="2">
        <v>4.0</v>
      </c>
      <c r="M152" s="2" t="s">
        <v>19</v>
      </c>
      <c r="N152" s="2">
        <v>3.0</v>
      </c>
    </row>
    <row r="153">
      <c r="A153" s="2">
        <v>152.0</v>
      </c>
      <c r="B153" s="3">
        <v>45790.0</v>
      </c>
      <c r="C153" s="3" t="s">
        <v>29</v>
      </c>
      <c r="D153" s="3" t="s">
        <v>52</v>
      </c>
      <c r="E153" s="2" t="s">
        <v>29</v>
      </c>
      <c r="F153" s="2" t="s">
        <v>15</v>
      </c>
      <c r="G153" s="2" t="s">
        <v>37</v>
      </c>
      <c r="H153" s="2">
        <v>4.0</v>
      </c>
      <c r="I153" s="2" t="s">
        <v>29</v>
      </c>
      <c r="J153" s="2" t="s">
        <v>67</v>
      </c>
      <c r="K153" s="2" t="s">
        <v>39</v>
      </c>
      <c r="L153" s="2">
        <v>6.0</v>
      </c>
      <c r="M153" s="2" t="s">
        <v>19</v>
      </c>
      <c r="N153" s="2">
        <v>1.0</v>
      </c>
    </row>
    <row r="154">
      <c r="A154" s="2">
        <v>153.0</v>
      </c>
      <c r="B154" s="3">
        <v>45378.0</v>
      </c>
      <c r="C154" s="3">
        <v>45388.0</v>
      </c>
      <c r="D154" s="3" t="s">
        <v>14</v>
      </c>
      <c r="E154" s="2">
        <v>10.0</v>
      </c>
      <c r="F154" s="2" t="s">
        <v>25</v>
      </c>
      <c r="G154" s="2" t="s">
        <v>26</v>
      </c>
      <c r="H154" s="2">
        <v>1.0</v>
      </c>
      <c r="I154" s="2">
        <v>1.0</v>
      </c>
      <c r="J154" s="2" t="s">
        <v>57</v>
      </c>
      <c r="K154" s="2" t="s">
        <v>28</v>
      </c>
      <c r="L154" s="2">
        <v>3.0</v>
      </c>
      <c r="M154" s="2" t="s">
        <v>19</v>
      </c>
      <c r="N154" s="2">
        <v>6.0</v>
      </c>
    </row>
    <row r="155">
      <c r="A155" s="2">
        <v>154.0</v>
      </c>
      <c r="B155" s="3">
        <v>45471.0</v>
      </c>
      <c r="C155" s="3">
        <v>45494.0</v>
      </c>
      <c r="D155" s="3" t="s">
        <v>14</v>
      </c>
      <c r="E155" s="2">
        <v>23.0</v>
      </c>
      <c r="F155" s="2" t="s">
        <v>42</v>
      </c>
      <c r="G155" s="2" t="s">
        <v>50</v>
      </c>
      <c r="H155" s="2">
        <v>1.0</v>
      </c>
      <c r="I155" s="2">
        <v>1.0</v>
      </c>
      <c r="J155" s="2" t="s">
        <v>27</v>
      </c>
      <c r="K155" s="2" t="s">
        <v>18</v>
      </c>
      <c r="L155" s="2">
        <v>3.0</v>
      </c>
      <c r="M155" s="2" t="s">
        <v>24</v>
      </c>
      <c r="N155" s="2">
        <v>1.0</v>
      </c>
    </row>
    <row r="156">
      <c r="A156" s="2">
        <v>155.0</v>
      </c>
      <c r="B156" s="3">
        <v>45449.0</v>
      </c>
      <c r="C156" s="3">
        <v>45479.0</v>
      </c>
      <c r="D156" s="3" t="s">
        <v>14</v>
      </c>
      <c r="E156" s="2">
        <v>30.0</v>
      </c>
      <c r="F156" s="2" t="s">
        <v>45</v>
      </c>
      <c r="G156" s="2" t="s">
        <v>46</v>
      </c>
      <c r="H156" s="2">
        <v>2.0</v>
      </c>
      <c r="I156" s="2">
        <v>2.0</v>
      </c>
      <c r="J156" s="2" t="s">
        <v>55</v>
      </c>
      <c r="K156" s="2" t="s">
        <v>60</v>
      </c>
      <c r="L156" s="2">
        <v>1.0</v>
      </c>
      <c r="M156" s="2" t="s">
        <v>24</v>
      </c>
      <c r="N156" s="2">
        <v>1.0</v>
      </c>
    </row>
    <row r="157">
      <c r="A157" s="2">
        <v>156.0</v>
      </c>
      <c r="B157" s="3">
        <v>45689.0</v>
      </c>
      <c r="C157" s="3">
        <v>45727.0</v>
      </c>
      <c r="D157" s="3" t="s">
        <v>14</v>
      </c>
      <c r="E157" s="2">
        <v>38.0</v>
      </c>
      <c r="F157" s="2" t="s">
        <v>25</v>
      </c>
      <c r="G157" s="2" t="s">
        <v>61</v>
      </c>
      <c r="H157" s="2">
        <v>4.0</v>
      </c>
      <c r="I157" s="2">
        <v>4.0</v>
      </c>
      <c r="J157" s="2" t="s">
        <v>58</v>
      </c>
      <c r="K157" s="2" t="s">
        <v>34</v>
      </c>
      <c r="L157" s="2">
        <v>5.0</v>
      </c>
      <c r="M157" s="2" t="s">
        <v>24</v>
      </c>
      <c r="N157" s="2">
        <v>4.0</v>
      </c>
    </row>
    <row r="158">
      <c r="A158" s="2">
        <v>157.0</v>
      </c>
      <c r="B158" s="3">
        <v>45693.0</v>
      </c>
      <c r="C158" s="3">
        <v>45697.0</v>
      </c>
      <c r="D158" s="3" t="s">
        <v>14</v>
      </c>
      <c r="E158" s="2">
        <v>4.0</v>
      </c>
      <c r="F158" s="2" t="s">
        <v>20</v>
      </c>
      <c r="G158" s="2" t="s">
        <v>41</v>
      </c>
      <c r="H158" s="2">
        <v>3.0</v>
      </c>
      <c r="I158" s="2">
        <v>3.0</v>
      </c>
      <c r="J158" s="2" t="s">
        <v>40</v>
      </c>
      <c r="K158" s="2" t="s">
        <v>34</v>
      </c>
      <c r="L158" s="2">
        <v>2.0</v>
      </c>
      <c r="M158" s="2" t="s">
        <v>19</v>
      </c>
      <c r="N158" s="2">
        <v>2.0</v>
      </c>
    </row>
    <row r="159">
      <c r="A159" s="2">
        <v>158.0</v>
      </c>
      <c r="B159" s="3">
        <v>45518.0</v>
      </c>
      <c r="C159" s="3" t="s">
        <v>29</v>
      </c>
      <c r="D159" s="3" t="s">
        <v>52</v>
      </c>
      <c r="E159" s="2" t="s">
        <v>29</v>
      </c>
      <c r="F159" s="2" t="s">
        <v>45</v>
      </c>
      <c r="G159" s="2" t="s">
        <v>56</v>
      </c>
      <c r="H159" s="2">
        <v>1.0</v>
      </c>
      <c r="I159" s="2" t="s">
        <v>29</v>
      </c>
      <c r="J159" s="2" t="s">
        <v>66</v>
      </c>
      <c r="K159" s="2" t="s">
        <v>23</v>
      </c>
      <c r="L159" s="2">
        <v>6.0</v>
      </c>
      <c r="M159" s="2" t="s">
        <v>24</v>
      </c>
      <c r="N159" s="2">
        <v>5.0</v>
      </c>
    </row>
    <row r="160">
      <c r="A160" s="2">
        <v>159.0</v>
      </c>
      <c r="B160" s="3">
        <v>45814.0</v>
      </c>
      <c r="C160" s="3">
        <v>45827.0</v>
      </c>
      <c r="D160" s="3" t="s">
        <v>14</v>
      </c>
      <c r="E160" s="2">
        <v>13.0</v>
      </c>
      <c r="F160" s="2" t="s">
        <v>25</v>
      </c>
      <c r="G160" s="2" t="s">
        <v>61</v>
      </c>
      <c r="H160" s="2">
        <v>1.0</v>
      </c>
      <c r="I160" s="2">
        <v>1.0</v>
      </c>
      <c r="J160" s="2" t="s">
        <v>66</v>
      </c>
      <c r="K160" s="2" t="s">
        <v>34</v>
      </c>
      <c r="L160" s="2">
        <v>4.0</v>
      </c>
      <c r="M160" s="2" t="s">
        <v>19</v>
      </c>
      <c r="N160" s="2">
        <v>5.0</v>
      </c>
    </row>
    <row r="161">
      <c r="A161" s="2">
        <v>160.0</v>
      </c>
      <c r="B161" s="3">
        <v>45709.0</v>
      </c>
      <c r="C161" s="3">
        <v>45722.0</v>
      </c>
      <c r="D161" s="3" t="s">
        <v>14</v>
      </c>
      <c r="E161" s="2">
        <v>13.0</v>
      </c>
      <c r="F161" s="2" t="s">
        <v>25</v>
      </c>
      <c r="G161" s="2" t="s">
        <v>26</v>
      </c>
      <c r="H161" s="2">
        <v>4.0</v>
      </c>
      <c r="I161" s="2">
        <v>3.0</v>
      </c>
      <c r="J161" s="2" t="s">
        <v>51</v>
      </c>
      <c r="K161" s="2" t="s">
        <v>28</v>
      </c>
      <c r="L161" s="2">
        <v>4.0</v>
      </c>
      <c r="M161" s="2" t="s">
        <v>19</v>
      </c>
      <c r="N161" s="2">
        <v>3.0</v>
      </c>
    </row>
    <row r="162">
      <c r="A162" s="2">
        <v>161.0</v>
      </c>
      <c r="B162" s="3">
        <v>45469.0</v>
      </c>
      <c r="C162" s="3">
        <v>45472.0</v>
      </c>
      <c r="D162" s="3" t="s">
        <v>14</v>
      </c>
      <c r="E162" s="2">
        <v>3.0</v>
      </c>
      <c r="F162" s="2" t="s">
        <v>45</v>
      </c>
      <c r="G162" s="2" t="s">
        <v>70</v>
      </c>
      <c r="H162" s="2">
        <v>4.0</v>
      </c>
      <c r="I162" s="2">
        <v>4.0</v>
      </c>
      <c r="J162" s="2" t="s">
        <v>57</v>
      </c>
      <c r="K162" s="2" t="s">
        <v>34</v>
      </c>
      <c r="L162" s="2">
        <v>1.0</v>
      </c>
      <c r="M162" s="2" t="s">
        <v>19</v>
      </c>
      <c r="N162" s="2">
        <v>6.0</v>
      </c>
    </row>
    <row r="163">
      <c r="A163" s="2">
        <v>162.0</v>
      </c>
      <c r="B163" s="3">
        <v>45612.0</v>
      </c>
      <c r="C163" s="3">
        <v>45620.0</v>
      </c>
      <c r="D163" s="3" t="s">
        <v>14</v>
      </c>
      <c r="E163" s="2">
        <v>8.0</v>
      </c>
      <c r="F163" s="2" t="s">
        <v>20</v>
      </c>
      <c r="G163" s="2" t="s">
        <v>21</v>
      </c>
      <c r="H163" s="2">
        <v>2.0</v>
      </c>
      <c r="I163" s="2">
        <v>1.0</v>
      </c>
      <c r="J163" s="2" t="s">
        <v>57</v>
      </c>
      <c r="K163" s="2" t="s">
        <v>60</v>
      </c>
      <c r="L163" s="2">
        <v>2.0</v>
      </c>
      <c r="M163" s="2" t="s">
        <v>24</v>
      </c>
      <c r="N163" s="2">
        <v>4.0</v>
      </c>
    </row>
    <row r="164">
      <c r="A164" s="2">
        <v>163.0</v>
      </c>
      <c r="B164" s="3">
        <v>45796.0</v>
      </c>
      <c r="C164" s="3">
        <v>45804.0</v>
      </c>
      <c r="D164" s="3" t="s">
        <v>14</v>
      </c>
      <c r="E164" s="2">
        <v>8.0</v>
      </c>
      <c r="F164" s="2" t="s">
        <v>31</v>
      </c>
      <c r="G164" s="2" t="s">
        <v>69</v>
      </c>
      <c r="H164" s="2">
        <v>3.0</v>
      </c>
      <c r="I164" s="2">
        <v>3.0</v>
      </c>
      <c r="J164" s="2" t="s">
        <v>62</v>
      </c>
      <c r="K164" s="2" t="s">
        <v>60</v>
      </c>
      <c r="L164" s="2">
        <v>1.0</v>
      </c>
      <c r="M164" s="2" t="s">
        <v>24</v>
      </c>
      <c r="N164" s="2">
        <v>2.0</v>
      </c>
    </row>
    <row r="165">
      <c r="A165" s="2">
        <v>164.0</v>
      </c>
      <c r="B165" s="3">
        <v>45387.0</v>
      </c>
      <c r="C165" s="3" t="s">
        <v>29</v>
      </c>
      <c r="D165" s="3" t="s">
        <v>52</v>
      </c>
      <c r="E165" s="2" t="s">
        <v>29</v>
      </c>
      <c r="F165" s="2" t="s">
        <v>20</v>
      </c>
      <c r="G165" s="2" t="s">
        <v>48</v>
      </c>
      <c r="H165" s="2">
        <v>4.0</v>
      </c>
      <c r="I165" s="2" t="s">
        <v>29</v>
      </c>
      <c r="J165" s="2" t="s">
        <v>27</v>
      </c>
      <c r="K165" s="2" t="s">
        <v>60</v>
      </c>
      <c r="L165" s="2">
        <v>6.0</v>
      </c>
      <c r="M165" s="2" t="s">
        <v>24</v>
      </c>
      <c r="N165" s="2">
        <v>6.0</v>
      </c>
    </row>
    <row r="166">
      <c r="A166" s="2">
        <v>165.0</v>
      </c>
      <c r="B166" s="3">
        <v>45654.0</v>
      </c>
      <c r="C166" s="3">
        <v>45668.0</v>
      </c>
      <c r="D166" s="3" t="s">
        <v>14</v>
      </c>
      <c r="E166" s="2">
        <v>14.0</v>
      </c>
      <c r="F166" s="2" t="s">
        <v>15</v>
      </c>
      <c r="G166" s="2" t="s">
        <v>16</v>
      </c>
      <c r="H166" s="2">
        <v>3.0</v>
      </c>
      <c r="I166" s="2">
        <v>3.0</v>
      </c>
      <c r="J166" s="2" t="s">
        <v>51</v>
      </c>
      <c r="K166" s="2" t="s">
        <v>60</v>
      </c>
      <c r="L166" s="2">
        <v>4.0</v>
      </c>
      <c r="M166" s="2" t="s">
        <v>24</v>
      </c>
      <c r="N166" s="2">
        <v>4.0</v>
      </c>
    </row>
    <row r="167">
      <c r="A167" s="2">
        <v>166.0</v>
      </c>
      <c r="B167" s="3">
        <v>45396.0</v>
      </c>
      <c r="C167" s="3">
        <v>45401.0</v>
      </c>
      <c r="D167" s="3" t="s">
        <v>14</v>
      </c>
      <c r="E167" s="2">
        <v>5.0</v>
      </c>
      <c r="F167" s="2" t="s">
        <v>45</v>
      </c>
      <c r="G167" s="2" t="s">
        <v>70</v>
      </c>
      <c r="H167" s="2">
        <v>2.0</v>
      </c>
      <c r="I167" s="2">
        <v>2.0</v>
      </c>
      <c r="J167" s="2" t="s">
        <v>38</v>
      </c>
      <c r="K167" s="2" t="s">
        <v>60</v>
      </c>
      <c r="L167" s="2">
        <v>5.0</v>
      </c>
      <c r="M167" s="2" t="s">
        <v>19</v>
      </c>
      <c r="N167" s="2">
        <v>3.0</v>
      </c>
    </row>
    <row r="168">
      <c r="A168" s="2">
        <v>167.0</v>
      </c>
      <c r="B168" s="3">
        <v>45362.0</v>
      </c>
      <c r="C168" s="3">
        <v>45369.0</v>
      </c>
      <c r="D168" s="3" t="s">
        <v>14</v>
      </c>
      <c r="E168" s="2">
        <v>7.0</v>
      </c>
      <c r="F168" s="2" t="s">
        <v>20</v>
      </c>
      <c r="G168" s="2" t="s">
        <v>48</v>
      </c>
      <c r="H168" s="2">
        <v>4.0</v>
      </c>
      <c r="I168" s="2">
        <v>3.0</v>
      </c>
      <c r="J168" s="2" t="s">
        <v>22</v>
      </c>
      <c r="K168" s="2" t="s">
        <v>23</v>
      </c>
      <c r="L168" s="2">
        <v>4.0</v>
      </c>
      <c r="M168" s="2" t="s">
        <v>19</v>
      </c>
      <c r="N168" s="2">
        <v>2.0</v>
      </c>
    </row>
    <row r="169">
      <c r="A169" s="2">
        <v>168.0</v>
      </c>
      <c r="B169" s="3">
        <v>45802.0</v>
      </c>
      <c r="C169" s="3">
        <v>45805.0</v>
      </c>
      <c r="D169" s="3" t="s">
        <v>14</v>
      </c>
      <c r="E169" s="2">
        <v>3.0</v>
      </c>
      <c r="F169" s="2" t="s">
        <v>15</v>
      </c>
      <c r="G169" s="2" t="s">
        <v>16</v>
      </c>
      <c r="H169" s="2">
        <v>4.0</v>
      </c>
      <c r="I169" s="2">
        <v>4.0</v>
      </c>
      <c r="J169" s="2" t="s">
        <v>51</v>
      </c>
      <c r="K169" s="2" t="s">
        <v>18</v>
      </c>
      <c r="L169" s="2">
        <v>3.0</v>
      </c>
      <c r="M169" s="2" t="s">
        <v>19</v>
      </c>
      <c r="N169" s="2">
        <v>2.0</v>
      </c>
    </row>
    <row r="170">
      <c r="A170" s="2">
        <v>169.0</v>
      </c>
      <c r="B170" s="3">
        <v>45694.0</v>
      </c>
      <c r="C170" s="3">
        <v>45698.0</v>
      </c>
      <c r="D170" s="3" t="s">
        <v>14</v>
      </c>
      <c r="E170" s="2">
        <v>4.0</v>
      </c>
      <c r="F170" s="2" t="s">
        <v>42</v>
      </c>
      <c r="G170" s="2" t="s">
        <v>65</v>
      </c>
      <c r="H170" s="2">
        <v>1.0</v>
      </c>
      <c r="I170" s="2">
        <v>1.0</v>
      </c>
      <c r="J170" s="2" t="s">
        <v>33</v>
      </c>
      <c r="K170" s="2" t="s">
        <v>23</v>
      </c>
      <c r="L170" s="2">
        <v>3.0</v>
      </c>
      <c r="M170" s="2" t="s">
        <v>24</v>
      </c>
      <c r="N170" s="2">
        <v>3.0</v>
      </c>
    </row>
    <row r="171">
      <c r="A171" s="2">
        <v>170.0</v>
      </c>
      <c r="B171" s="3">
        <v>45630.0</v>
      </c>
      <c r="C171" s="3">
        <v>45647.0</v>
      </c>
      <c r="D171" s="3" t="s">
        <v>14</v>
      </c>
      <c r="E171" s="2">
        <v>17.0</v>
      </c>
      <c r="F171" s="2" t="s">
        <v>25</v>
      </c>
      <c r="G171" s="2" t="s">
        <v>68</v>
      </c>
      <c r="H171" s="2">
        <v>3.0</v>
      </c>
      <c r="I171" s="2">
        <v>2.0</v>
      </c>
      <c r="J171" s="2" t="s">
        <v>66</v>
      </c>
      <c r="K171" s="2" t="s">
        <v>39</v>
      </c>
      <c r="L171" s="2">
        <v>6.0</v>
      </c>
      <c r="M171" s="2" t="s">
        <v>24</v>
      </c>
      <c r="N171" s="2">
        <v>2.0</v>
      </c>
    </row>
    <row r="172">
      <c r="A172" s="2">
        <v>171.0</v>
      </c>
      <c r="B172" s="3">
        <v>45600.0</v>
      </c>
      <c r="C172" s="3">
        <v>45604.0</v>
      </c>
      <c r="D172" s="3" t="s">
        <v>14</v>
      </c>
      <c r="E172" s="2">
        <v>4.0</v>
      </c>
      <c r="F172" s="2" t="s">
        <v>42</v>
      </c>
      <c r="G172" s="2" t="s">
        <v>50</v>
      </c>
      <c r="H172" s="2">
        <v>4.0</v>
      </c>
      <c r="I172" s="2">
        <v>4.0</v>
      </c>
      <c r="J172" s="2" t="s">
        <v>22</v>
      </c>
      <c r="K172" s="2" t="s">
        <v>39</v>
      </c>
      <c r="L172" s="2">
        <v>2.0</v>
      </c>
      <c r="M172" s="2" t="s">
        <v>19</v>
      </c>
      <c r="N172" s="2">
        <v>2.0</v>
      </c>
    </row>
    <row r="173">
      <c r="A173" s="2">
        <v>172.0</v>
      </c>
      <c r="B173" s="3">
        <v>45774.0</v>
      </c>
      <c r="C173" s="3" t="s">
        <v>29</v>
      </c>
      <c r="D173" s="3" t="s">
        <v>30</v>
      </c>
      <c r="E173" s="2" t="s">
        <v>29</v>
      </c>
      <c r="F173" s="2" t="s">
        <v>45</v>
      </c>
      <c r="G173" s="2" t="s">
        <v>70</v>
      </c>
      <c r="H173" s="2">
        <v>2.0</v>
      </c>
      <c r="I173" s="2" t="s">
        <v>29</v>
      </c>
      <c r="J173" s="2" t="s">
        <v>64</v>
      </c>
      <c r="K173" s="2" t="s">
        <v>34</v>
      </c>
      <c r="L173" s="2">
        <v>6.0</v>
      </c>
      <c r="M173" s="2" t="s">
        <v>24</v>
      </c>
      <c r="N173" s="2">
        <v>2.0</v>
      </c>
    </row>
    <row r="174">
      <c r="A174" s="2">
        <v>173.0</v>
      </c>
      <c r="B174" s="3">
        <v>45490.0</v>
      </c>
      <c r="C174" s="3">
        <v>45504.0</v>
      </c>
      <c r="D174" s="3" t="s">
        <v>14</v>
      </c>
      <c r="E174" s="2">
        <v>14.0</v>
      </c>
      <c r="F174" s="2" t="s">
        <v>15</v>
      </c>
      <c r="G174" s="2" t="s">
        <v>37</v>
      </c>
      <c r="H174" s="2">
        <v>4.0</v>
      </c>
      <c r="I174" s="2">
        <v>3.0</v>
      </c>
      <c r="J174" s="2" t="s">
        <v>67</v>
      </c>
      <c r="K174" s="2" t="s">
        <v>18</v>
      </c>
      <c r="L174" s="2">
        <v>2.0</v>
      </c>
      <c r="M174" s="2" t="s">
        <v>19</v>
      </c>
      <c r="N174" s="2">
        <v>1.0</v>
      </c>
    </row>
    <row r="175">
      <c r="A175" s="2">
        <v>174.0</v>
      </c>
      <c r="B175" s="3">
        <v>45745.0</v>
      </c>
      <c r="C175" s="3" t="s">
        <v>29</v>
      </c>
      <c r="D175" s="3" t="s">
        <v>52</v>
      </c>
      <c r="E175" s="2" t="s">
        <v>29</v>
      </c>
      <c r="F175" s="2" t="s">
        <v>31</v>
      </c>
      <c r="G175" s="2" t="s">
        <v>35</v>
      </c>
      <c r="H175" s="2">
        <v>2.0</v>
      </c>
      <c r="I175" s="2" t="s">
        <v>29</v>
      </c>
      <c r="J175" s="2" t="s">
        <v>36</v>
      </c>
      <c r="K175" s="2" t="s">
        <v>23</v>
      </c>
      <c r="L175" s="2">
        <v>6.0</v>
      </c>
      <c r="M175" s="2" t="s">
        <v>19</v>
      </c>
      <c r="N175" s="2">
        <v>1.0</v>
      </c>
    </row>
    <row r="176">
      <c r="A176" s="2">
        <v>175.0</v>
      </c>
      <c r="B176" s="3">
        <v>45496.0</v>
      </c>
      <c r="C176" s="3" t="s">
        <v>29</v>
      </c>
      <c r="D176" s="3" t="s">
        <v>52</v>
      </c>
      <c r="E176" s="2" t="s">
        <v>29</v>
      </c>
      <c r="F176" s="2" t="s">
        <v>42</v>
      </c>
      <c r="G176" s="2" t="s">
        <v>50</v>
      </c>
      <c r="H176" s="2">
        <v>1.0</v>
      </c>
      <c r="I176" s="2" t="s">
        <v>29</v>
      </c>
      <c r="J176" s="2" t="s">
        <v>40</v>
      </c>
      <c r="K176" s="2" t="s">
        <v>18</v>
      </c>
      <c r="L176" s="2">
        <v>2.0</v>
      </c>
      <c r="M176" s="2" t="s">
        <v>24</v>
      </c>
      <c r="N176" s="2">
        <v>1.0</v>
      </c>
    </row>
    <row r="177">
      <c r="A177" s="2">
        <v>176.0</v>
      </c>
      <c r="B177" s="3">
        <v>45304.0</v>
      </c>
      <c r="C177" s="3">
        <v>45313.0</v>
      </c>
      <c r="D177" s="3" t="s">
        <v>14</v>
      </c>
      <c r="E177" s="2">
        <v>9.0</v>
      </c>
      <c r="F177" s="2" t="s">
        <v>20</v>
      </c>
      <c r="G177" s="2" t="s">
        <v>41</v>
      </c>
      <c r="H177" s="2">
        <v>1.0</v>
      </c>
      <c r="I177" s="2">
        <v>1.0</v>
      </c>
      <c r="J177" s="2" t="s">
        <v>27</v>
      </c>
      <c r="K177" s="2" t="s">
        <v>34</v>
      </c>
      <c r="L177" s="2">
        <v>6.0</v>
      </c>
      <c r="M177" s="2" t="s">
        <v>24</v>
      </c>
      <c r="N177" s="2">
        <v>6.0</v>
      </c>
    </row>
    <row r="178">
      <c r="A178" s="2">
        <v>177.0</v>
      </c>
      <c r="B178" s="3">
        <v>45401.0</v>
      </c>
      <c r="C178" s="3">
        <v>45414.0</v>
      </c>
      <c r="D178" s="3" t="s">
        <v>14</v>
      </c>
      <c r="E178" s="2">
        <v>13.0</v>
      </c>
      <c r="F178" s="2" t="s">
        <v>25</v>
      </c>
      <c r="G178" s="2" t="s">
        <v>26</v>
      </c>
      <c r="H178" s="2">
        <v>1.0</v>
      </c>
      <c r="I178" s="2">
        <v>1.0</v>
      </c>
      <c r="J178" s="2" t="s">
        <v>33</v>
      </c>
      <c r="K178" s="2" t="s">
        <v>39</v>
      </c>
      <c r="L178" s="2">
        <v>6.0</v>
      </c>
      <c r="M178" s="2" t="s">
        <v>19</v>
      </c>
      <c r="N178" s="2">
        <v>2.0</v>
      </c>
    </row>
    <row r="179">
      <c r="A179" s="2">
        <v>178.0</v>
      </c>
      <c r="B179" s="3">
        <v>45608.0</v>
      </c>
      <c r="C179" s="3">
        <v>45611.0</v>
      </c>
      <c r="D179" s="3" t="s">
        <v>14</v>
      </c>
      <c r="E179" s="2">
        <v>3.0</v>
      </c>
      <c r="F179" s="2" t="s">
        <v>20</v>
      </c>
      <c r="G179" s="2" t="s">
        <v>21</v>
      </c>
      <c r="H179" s="2">
        <v>2.0</v>
      </c>
      <c r="I179" s="2">
        <v>1.0</v>
      </c>
      <c r="J179" s="2" t="s">
        <v>67</v>
      </c>
      <c r="K179" s="2" t="s">
        <v>34</v>
      </c>
      <c r="L179" s="2">
        <v>2.0</v>
      </c>
      <c r="M179" s="2" t="s">
        <v>24</v>
      </c>
      <c r="N179" s="2">
        <v>6.0</v>
      </c>
    </row>
    <row r="180">
      <c r="A180" s="2">
        <v>179.0</v>
      </c>
      <c r="B180" s="3">
        <v>45521.0</v>
      </c>
      <c r="C180" s="3">
        <v>45540.0</v>
      </c>
      <c r="D180" s="3" t="s">
        <v>14</v>
      </c>
      <c r="E180" s="2">
        <v>19.0</v>
      </c>
      <c r="F180" s="2" t="s">
        <v>42</v>
      </c>
      <c r="G180" s="2" t="s">
        <v>53</v>
      </c>
      <c r="H180" s="2">
        <v>3.0</v>
      </c>
      <c r="I180" s="2">
        <v>2.0</v>
      </c>
      <c r="J180" s="2" t="s">
        <v>57</v>
      </c>
      <c r="K180" s="2" t="s">
        <v>28</v>
      </c>
      <c r="L180" s="2">
        <v>6.0</v>
      </c>
      <c r="M180" s="2" t="s">
        <v>19</v>
      </c>
      <c r="N180" s="2">
        <v>5.0</v>
      </c>
    </row>
    <row r="181">
      <c r="A181" s="2">
        <v>180.0</v>
      </c>
      <c r="B181" s="3">
        <v>45662.0</v>
      </c>
      <c r="C181" s="3">
        <v>45669.0</v>
      </c>
      <c r="D181" s="3" t="s">
        <v>14</v>
      </c>
      <c r="E181" s="2">
        <v>7.0</v>
      </c>
      <c r="F181" s="2" t="s">
        <v>15</v>
      </c>
      <c r="G181" s="2" t="s">
        <v>37</v>
      </c>
      <c r="H181" s="2">
        <v>1.0</v>
      </c>
      <c r="I181" s="2">
        <v>1.0</v>
      </c>
      <c r="J181" s="2" t="s">
        <v>17</v>
      </c>
      <c r="K181" s="2" t="s">
        <v>60</v>
      </c>
      <c r="L181" s="2">
        <v>1.0</v>
      </c>
      <c r="M181" s="2" t="s">
        <v>24</v>
      </c>
      <c r="N181" s="2">
        <v>4.0</v>
      </c>
    </row>
    <row r="182">
      <c r="A182" s="2">
        <v>181.0</v>
      </c>
      <c r="B182" s="3">
        <v>45569.0</v>
      </c>
      <c r="C182" s="3">
        <v>45579.0</v>
      </c>
      <c r="D182" s="3" t="s">
        <v>14</v>
      </c>
      <c r="E182" s="2">
        <v>10.0</v>
      </c>
      <c r="F182" s="2" t="s">
        <v>45</v>
      </c>
      <c r="G182" s="2" t="s">
        <v>46</v>
      </c>
      <c r="H182" s="2">
        <v>2.0</v>
      </c>
      <c r="I182" s="2">
        <v>2.0</v>
      </c>
      <c r="J182" s="2" t="s">
        <v>49</v>
      </c>
      <c r="K182" s="2" t="s">
        <v>34</v>
      </c>
      <c r="L182" s="2">
        <v>5.0</v>
      </c>
      <c r="M182" s="2" t="s">
        <v>24</v>
      </c>
      <c r="N182" s="2">
        <v>5.0</v>
      </c>
    </row>
    <row r="183">
      <c r="A183" s="2">
        <v>182.0</v>
      </c>
      <c r="B183" s="3">
        <v>45589.0</v>
      </c>
      <c r="C183" s="3">
        <v>45595.0</v>
      </c>
      <c r="D183" s="3" t="s">
        <v>14</v>
      </c>
      <c r="E183" s="2">
        <v>6.0</v>
      </c>
      <c r="F183" s="2" t="s">
        <v>45</v>
      </c>
      <c r="G183" s="2" t="s">
        <v>56</v>
      </c>
      <c r="H183" s="2">
        <v>4.0</v>
      </c>
      <c r="I183" s="2">
        <v>2.0</v>
      </c>
      <c r="J183" s="2" t="s">
        <v>44</v>
      </c>
      <c r="K183" s="2" t="s">
        <v>34</v>
      </c>
      <c r="L183" s="2">
        <v>5.0</v>
      </c>
      <c r="M183" s="2" t="s">
        <v>24</v>
      </c>
      <c r="N183" s="2">
        <v>4.0</v>
      </c>
    </row>
    <row r="184">
      <c r="A184" s="2">
        <v>183.0</v>
      </c>
      <c r="B184" s="3">
        <v>45416.0</v>
      </c>
      <c r="C184" s="3">
        <v>45418.0</v>
      </c>
      <c r="D184" s="3" t="s">
        <v>14</v>
      </c>
      <c r="E184" s="2">
        <v>2.0</v>
      </c>
      <c r="F184" s="2" t="s">
        <v>42</v>
      </c>
      <c r="G184" s="2" t="s">
        <v>43</v>
      </c>
      <c r="H184" s="2">
        <v>1.0</v>
      </c>
      <c r="I184" s="2">
        <v>1.0</v>
      </c>
      <c r="J184" s="2" t="s">
        <v>55</v>
      </c>
      <c r="K184" s="2" t="s">
        <v>34</v>
      </c>
      <c r="L184" s="2">
        <v>2.0</v>
      </c>
      <c r="M184" s="2" t="s">
        <v>24</v>
      </c>
      <c r="N184" s="2">
        <v>6.0</v>
      </c>
    </row>
    <row r="185">
      <c r="A185" s="2">
        <v>184.0</v>
      </c>
      <c r="B185" s="3">
        <v>45398.0</v>
      </c>
      <c r="C185" s="3">
        <v>45406.0</v>
      </c>
      <c r="D185" s="3" t="s">
        <v>14</v>
      </c>
      <c r="E185" s="2">
        <v>8.0</v>
      </c>
      <c r="F185" s="2" t="s">
        <v>45</v>
      </c>
      <c r="G185" s="2" t="s">
        <v>70</v>
      </c>
      <c r="H185" s="2">
        <v>1.0</v>
      </c>
      <c r="I185" s="2">
        <v>1.0</v>
      </c>
      <c r="J185" s="2" t="s">
        <v>36</v>
      </c>
      <c r="K185" s="2" t="s">
        <v>23</v>
      </c>
      <c r="L185" s="2">
        <v>2.0</v>
      </c>
      <c r="M185" s="2" t="s">
        <v>19</v>
      </c>
      <c r="N185" s="2">
        <v>3.0</v>
      </c>
    </row>
    <row r="186">
      <c r="A186" s="2">
        <v>185.0</v>
      </c>
      <c r="B186" s="3">
        <v>45815.0</v>
      </c>
      <c r="C186" s="3">
        <v>45829.0</v>
      </c>
      <c r="D186" s="3" t="s">
        <v>14</v>
      </c>
      <c r="E186" s="2">
        <v>14.0</v>
      </c>
      <c r="F186" s="2" t="s">
        <v>25</v>
      </c>
      <c r="G186" s="2" t="s">
        <v>59</v>
      </c>
      <c r="H186" s="2">
        <v>2.0</v>
      </c>
      <c r="I186" s="2">
        <v>1.0</v>
      </c>
      <c r="J186" s="2" t="s">
        <v>47</v>
      </c>
      <c r="K186" s="2" t="s">
        <v>34</v>
      </c>
      <c r="L186" s="2">
        <v>4.0</v>
      </c>
      <c r="M186" s="2" t="s">
        <v>24</v>
      </c>
      <c r="N186" s="2">
        <v>5.0</v>
      </c>
    </row>
    <row r="187">
      <c r="A187" s="2">
        <v>186.0</v>
      </c>
      <c r="B187" s="3">
        <v>45641.0</v>
      </c>
      <c r="C187" s="3" t="s">
        <v>29</v>
      </c>
      <c r="D187" s="3" t="s">
        <v>30</v>
      </c>
      <c r="E187" s="2" t="s">
        <v>29</v>
      </c>
      <c r="F187" s="2" t="s">
        <v>20</v>
      </c>
      <c r="G187" s="2" t="s">
        <v>21</v>
      </c>
      <c r="H187" s="2">
        <v>3.0</v>
      </c>
      <c r="I187" s="2" t="s">
        <v>29</v>
      </c>
      <c r="J187" s="2" t="s">
        <v>22</v>
      </c>
      <c r="K187" s="2" t="s">
        <v>39</v>
      </c>
      <c r="L187" s="2">
        <v>5.0</v>
      </c>
      <c r="M187" s="2" t="s">
        <v>24</v>
      </c>
      <c r="N187" s="2">
        <v>5.0</v>
      </c>
    </row>
    <row r="188">
      <c r="A188" s="2">
        <v>187.0</v>
      </c>
      <c r="B188" s="3">
        <v>45530.0</v>
      </c>
      <c r="C188" s="3">
        <v>45540.0</v>
      </c>
      <c r="D188" s="3" t="s">
        <v>14</v>
      </c>
      <c r="E188" s="2">
        <v>10.0</v>
      </c>
      <c r="F188" s="2" t="s">
        <v>15</v>
      </c>
      <c r="G188" s="2" t="s">
        <v>16</v>
      </c>
      <c r="H188" s="2">
        <v>2.0</v>
      </c>
      <c r="I188" s="2">
        <v>2.0</v>
      </c>
      <c r="J188" s="2" t="s">
        <v>67</v>
      </c>
      <c r="K188" s="2" t="s">
        <v>28</v>
      </c>
      <c r="L188" s="2">
        <v>5.0</v>
      </c>
      <c r="M188" s="2" t="s">
        <v>19</v>
      </c>
      <c r="N188" s="2">
        <v>4.0</v>
      </c>
    </row>
    <row r="189">
      <c r="A189" s="2">
        <v>188.0</v>
      </c>
      <c r="B189" s="3">
        <v>45327.0</v>
      </c>
      <c r="C189" s="3">
        <v>45333.0</v>
      </c>
      <c r="D189" s="3" t="s">
        <v>14</v>
      </c>
      <c r="E189" s="2">
        <v>6.0</v>
      </c>
      <c r="F189" s="2" t="s">
        <v>20</v>
      </c>
      <c r="G189" s="2" t="s">
        <v>21</v>
      </c>
      <c r="H189" s="2">
        <v>3.0</v>
      </c>
      <c r="I189" s="2">
        <v>2.0</v>
      </c>
      <c r="J189" s="2" t="s">
        <v>57</v>
      </c>
      <c r="K189" s="2" t="s">
        <v>34</v>
      </c>
      <c r="L189" s="2">
        <v>4.0</v>
      </c>
      <c r="M189" s="2" t="s">
        <v>24</v>
      </c>
      <c r="N189" s="2">
        <v>4.0</v>
      </c>
    </row>
    <row r="190">
      <c r="A190" s="2">
        <v>189.0</v>
      </c>
      <c r="B190" s="3">
        <v>45464.0</v>
      </c>
      <c r="C190" s="3">
        <v>45471.0</v>
      </c>
      <c r="D190" s="3" t="s">
        <v>14</v>
      </c>
      <c r="E190" s="2">
        <v>7.0</v>
      </c>
      <c r="F190" s="2" t="s">
        <v>45</v>
      </c>
      <c r="G190" s="2" t="s">
        <v>46</v>
      </c>
      <c r="H190" s="2">
        <v>4.0</v>
      </c>
      <c r="I190" s="2">
        <v>1.0</v>
      </c>
      <c r="J190" s="2" t="s">
        <v>55</v>
      </c>
      <c r="K190" s="2" t="s">
        <v>18</v>
      </c>
      <c r="L190" s="2">
        <v>5.0</v>
      </c>
      <c r="M190" s="2" t="s">
        <v>24</v>
      </c>
      <c r="N190" s="2">
        <v>4.0</v>
      </c>
    </row>
    <row r="191">
      <c r="A191" s="2">
        <v>190.0</v>
      </c>
      <c r="B191" s="3">
        <v>45700.0</v>
      </c>
      <c r="C191" s="3">
        <v>45708.0</v>
      </c>
      <c r="D191" s="3" t="s">
        <v>14</v>
      </c>
      <c r="E191" s="2">
        <v>8.0</v>
      </c>
      <c r="F191" s="2" t="s">
        <v>20</v>
      </c>
      <c r="G191" s="2" t="s">
        <v>21</v>
      </c>
      <c r="H191" s="2">
        <v>2.0</v>
      </c>
      <c r="I191" s="2">
        <v>2.0</v>
      </c>
      <c r="J191" s="2" t="s">
        <v>17</v>
      </c>
      <c r="K191" s="2" t="s">
        <v>18</v>
      </c>
      <c r="L191" s="2">
        <v>4.0</v>
      </c>
      <c r="M191" s="2" t="s">
        <v>24</v>
      </c>
      <c r="N191" s="2">
        <v>6.0</v>
      </c>
    </row>
    <row r="192">
      <c r="A192" s="2">
        <v>191.0</v>
      </c>
      <c r="B192" s="3">
        <v>45711.0</v>
      </c>
      <c r="C192" s="3">
        <v>45722.0</v>
      </c>
      <c r="D192" s="3" t="s">
        <v>14</v>
      </c>
      <c r="E192" s="2">
        <v>11.0</v>
      </c>
      <c r="F192" s="2" t="s">
        <v>31</v>
      </c>
      <c r="G192" s="2" t="s">
        <v>54</v>
      </c>
      <c r="H192" s="2">
        <v>1.0</v>
      </c>
      <c r="I192" s="2">
        <v>1.0</v>
      </c>
      <c r="J192" s="2" t="s">
        <v>57</v>
      </c>
      <c r="K192" s="2" t="s">
        <v>28</v>
      </c>
      <c r="L192" s="2">
        <v>5.0</v>
      </c>
      <c r="M192" s="2" t="s">
        <v>19</v>
      </c>
      <c r="N192" s="2">
        <v>4.0</v>
      </c>
    </row>
    <row r="193">
      <c r="A193" s="2">
        <v>192.0</v>
      </c>
      <c r="B193" s="3">
        <v>45670.0</v>
      </c>
      <c r="C193" s="3">
        <v>45682.0</v>
      </c>
      <c r="D193" s="3" t="s">
        <v>14</v>
      </c>
      <c r="E193" s="2">
        <v>12.0</v>
      </c>
      <c r="F193" s="2" t="s">
        <v>31</v>
      </c>
      <c r="G193" s="2" t="s">
        <v>35</v>
      </c>
      <c r="H193" s="2">
        <v>3.0</v>
      </c>
      <c r="I193" s="2">
        <v>1.0</v>
      </c>
      <c r="J193" s="2" t="s">
        <v>36</v>
      </c>
      <c r="K193" s="2" t="s">
        <v>18</v>
      </c>
      <c r="L193" s="2">
        <v>2.0</v>
      </c>
      <c r="M193" s="2" t="s">
        <v>24</v>
      </c>
      <c r="N193" s="2">
        <v>6.0</v>
      </c>
    </row>
    <row r="194">
      <c r="A194" s="2">
        <v>193.0</v>
      </c>
      <c r="B194" s="3">
        <v>45643.0</v>
      </c>
      <c r="C194" s="3" t="s">
        <v>29</v>
      </c>
      <c r="D194" s="3" t="s">
        <v>30</v>
      </c>
      <c r="E194" s="2" t="s">
        <v>29</v>
      </c>
      <c r="F194" s="2" t="s">
        <v>31</v>
      </c>
      <c r="G194" s="2" t="s">
        <v>69</v>
      </c>
      <c r="H194" s="2">
        <v>4.0</v>
      </c>
      <c r="I194" s="2" t="s">
        <v>29</v>
      </c>
      <c r="J194" s="2" t="s">
        <v>62</v>
      </c>
      <c r="K194" s="2" t="s">
        <v>18</v>
      </c>
      <c r="L194" s="2">
        <v>6.0</v>
      </c>
      <c r="M194" s="2" t="s">
        <v>19</v>
      </c>
      <c r="N194" s="2">
        <v>5.0</v>
      </c>
    </row>
    <row r="195">
      <c r="A195" s="2">
        <v>194.0</v>
      </c>
      <c r="B195" s="3">
        <v>45822.0</v>
      </c>
      <c r="C195" s="3">
        <v>45826.0</v>
      </c>
      <c r="D195" s="3" t="s">
        <v>14</v>
      </c>
      <c r="E195" s="2">
        <v>4.0</v>
      </c>
      <c r="F195" s="2" t="s">
        <v>42</v>
      </c>
      <c r="G195" s="2" t="s">
        <v>43</v>
      </c>
      <c r="H195" s="2">
        <v>4.0</v>
      </c>
      <c r="I195" s="2">
        <v>1.0</v>
      </c>
      <c r="J195" s="2" t="s">
        <v>44</v>
      </c>
      <c r="K195" s="2" t="s">
        <v>23</v>
      </c>
      <c r="L195" s="2">
        <v>6.0</v>
      </c>
      <c r="M195" s="2" t="s">
        <v>19</v>
      </c>
      <c r="N195" s="2">
        <v>3.0</v>
      </c>
    </row>
    <row r="196">
      <c r="A196" s="2">
        <v>195.0</v>
      </c>
      <c r="B196" s="3">
        <v>45810.0</v>
      </c>
      <c r="C196" s="3">
        <v>45820.0</v>
      </c>
      <c r="D196" s="3" t="s">
        <v>14</v>
      </c>
      <c r="E196" s="2">
        <v>10.0</v>
      </c>
      <c r="F196" s="2" t="s">
        <v>42</v>
      </c>
      <c r="G196" s="2" t="s">
        <v>43</v>
      </c>
      <c r="H196" s="2">
        <v>1.0</v>
      </c>
      <c r="I196" s="2">
        <v>1.0</v>
      </c>
      <c r="J196" s="2" t="s">
        <v>22</v>
      </c>
      <c r="K196" s="2" t="s">
        <v>18</v>
      </c>
      <c r="L196" s="2">
        <v>1.0</v>
      </c>
      <c r="M196" s="2" t="s">
        <v>19</v>
      </c>
      <c r="N196" s="2">
        <v>6.0</v>
      </c>
    </row>
    <row r="197">
      <c r="A197" s="2">
        <v>196.0</v>
      </c>
      <c r="B197" s="3">
        <v>45586.0</v>
      </c>
      <c r="C197" s="3">
        <v>45599.0</v>
      </c>
      <c r="D197" s="3" t="s">
        <v>14</v>
      </c>
      <c r="E197" s="2">
        <v>13.0</v>
      </c>
      <c r="F197" s="2" t="s">
        <v>45</v>
      </c>
      <c r="G197" s="2" t="s">
        <v>56</v>
      </c>
      <c r="H197" s="2">
        <v>3.0</v>
      </c>
      <c r="I197" s="2">
        <v>1.0</v>
      </c>
      <c r="J197" s="2" t="s">
        <v>49</v>
      </c>
      <c r="K197" s="2" t="s">
        <v>23</v>
      </c>
      <c r="L197" s="2">
        <v>2.0</v>
      </c>
      <c r="M197" s="2" t="s">
        <v>19</v>
      </c>
      <c r="N197" s="2">
        <v>3.0</v>
      </c>
    </row>
    <row r="198">
      <c r="A198" s="2">
        <v>197.0</v>
      </c>
      <c r="B198" s="3">
        <v>45593.0</v>
      </c>
      <c r="C198" s="3">
        <v>45634.0</v>
      </c>
      <c r="D198" s="3" t="s">
        <v>14</v>
      </c>
      <c r="E198" s="2">
        <v>41.0</v>
      </c>
      <c r="F198" s="2" t="s">
        <v>20</v>
      </c>
      <c r="G198" s="2" t="s">
        <v>41</v>
      </c>
      <c r="H198" s="2">
        <v>1.0</v>
      </c>
      <c r="I198" s="2">
        <v>1.0</v>
      </c>
      <c r="J198" s="2" t="s">
        <v>51</v>
      </c>
      <c r="K198" s="2" t="s">
        <v>23</v>
      </c>
      <c r="L198" s="2">
        <v>4.0</v>
      </c>
      <c r="M198" s="2" t="s">
        <v>19</v>
      </c>
      <c r="N198" s="2">
        <v>6.0</v>
      </c>
    </row>
    <row r="199">
      <c r="A199" s="2">
        <v>198.0</v>
      </c>
      <c r="B199" s="3">
        <v>45340.0</v>
      </c>
      <c r="C199" s="3" t="s">
        <v>29</v>
      </c>
      <c r="D199" s="3" t="s">
        <v>52</v>
      </c>
      <c r="E199" s="2" t="s">
        <v>29</v>
      </c>
      <c r="F199" s="2" t="s">
        <v>45</v>
      </c>
      <c r="G199" s="2" t="s">
        <v>70</v>
      </c>
      <c r="H199" s="2">
        <v>4.0</v>
      </c>
      <c r="I199" s="2" t="s">
        <v>29</v>
      </c>
      <c r="J199" s="2" t="s">
        <v>64</v>
      </c>
      <c r="K199" s="2" t="s">
        <v>18</v>
      </c>
      <c r="L199" s="2">
        <v>3.0</v>
      </c>
      <c r="M199" s="2" t="s">
        <v>19</v>
      </c>
      <c r="N199" s="2">
        <v>3.0</v>
      </c>
    </row>
    <row r="200">
      <c r="A200" s="2">
        <v>199.0</v>
      </c>
      <c r="B200" s="3">
        <v>45741.0</v>
      </c>
      <c r="C200" s="3">
        <v>45751.0</v>
      </c>
      <c r="D200" s="3" t="s">
        <v>14</v>
      </c>
      <c r="E200" s="2">
        <v>10.0</v>
      </c>
      <c r="F200" s="2" t="s">
        <v>42</v>
      </c>
      <c r="G200" s="2" t="s">
        <v>53</v>
      </c>
      <c r="H200" s="2">
        <v>1.0</v>
      </c>
      <c r="I200" s="2">
        <v>1.0</v>
      </c>
      <c r="J200" s="2" t="s">
        <v>66</v>
      </c>
      <c r="K200" s="2" t="s">
        <v>28</v>
      </c>
      <c r="L200" s="2">
        <v>1.0</v>
      </c>
      <c r="M200" s="2" t="s">
        <v>24</v>
      </c>
      <c r="N200" s="2">
        <v>3.0</v>
      </c>
    </row>
    <row r="201">
      <c r="A201" s="2">
        <v>200.0</v>
      </c>
      <c r="B201" s="3">
        <v>45797.0</v>
      </c>
      <c r="C201" s="3">
        <v>45837.0</v>
      </c>
      <c r="D201" s="3" t="s">
        <v>14</v>
      </c>
      <c r="E201" s="2">
        <v>40.0</v>
      </c>
      <c r="F201" s="2" t="s">
        <v>15</v>
      </c>
      <c r="G201" s="2" t="s">
        <v>37</v>
      </c>
      <c r="H201" s="2">
        <v>3.0</v>
      </c>
      <c r="I201" s="2">
        <v>2.0</v>
      </c>
      <c r="J201" s="2" t="s">
        <v>58</v>
      </c>
      <c r="K201" s="2" t="s">
        <v>39</v>
      </c>
      <c r="L201" s="2">
        <v>3.0</v>
      </c>
      <c r="M201" s="2" t="s">
        <v>19</v>
      </c>
      <c r="N201" s="2">
        <v>6.0</v>
      </c>
    </row>
    <row r="202">
      <c r="A202" s="2">
        <v>201.0</v>
      </c>
      <c r="B202" s="3">
        <v>45583.0</v>
      </c>
      <c r="C202" s="3" t="s">
        <v>29</v>
      </c>
      <c r="D202" s="3" t="s">
        <v>30</v>
      </c>
      <c r="E202" s="2" t="s">
        <v>29</v>
      </c>
      <c r="F202" s="2" t="s">
        <v>25</v>
      </c>
      <c r="G202" s="2" t="s">
        <v>61</v>
      </c>
      <c r="H202" s="2">
        <v>3.0</v>
      </c>
      <c r="I202" s="2" t="s">
        <v>29</v>
      </c>
      <c r="J202" s="2" t="s">
        <v>27</v>
      </c>
      <c r="K202" s="2" t="s">
        <v>34</v>
      </c>
      <c r="L202" s="2">
        <v>3.0</v>
      </c>
      <c r="M202" s="2" t="s">
        <v>24</v>
      </c>
      <c r="N202" s="2">
        <v>2.0</v>
      </c>
    </row>
    <row r="203">
      <c r="A203" s="2">
        <v>202.0</v>
      </c>
      <c r="B203" s="3">
        <v>45337.0</v>
      </c>
      <c r="C203" s="3">
        <v>45339.0</v>
      </c>
      <c r="D203" s="3" t="s">
        <v>14</v>
      </c>
      <c r="E203" s="2">
        <v>2.0</v>
      </c>
      <c r="F203" s="2" t="s">
        <v>31</v>
      </c>
      <c r="G203" s="2" t="s">
        <v>35</v>
      </c>
      <c r="H203" s="2">
        <v>2.0</v>
      </c>
      <c r="I203" s="2">
        <v>1.0</v>
      </c>
      <c r="J203" s="2" t="s">
        <v>33</v>
      </c>
      <c r="K203" s="2" t="s">
        <v>60</v>
      </c>
      <c r="L203" s="2">
        <v>6.0</v>
      </c>
      <c r="M203" s="2" t="s">
        <v>19</v>
      </c>
      <c r="N203" s="2">
        <v>6.0</v>
      </c>
    </row>
    <row r="204">
      <c r="A204" s="2">
        <v>203.0</v>
      </c>
      <c r="B204" s="3">
        <v>45579.0</v>
      </c>
      <c r="C204" s="3">
        <v>45586.0</v>
      </c>
      <c r="D204" s="3" t="s">
        <v>14</v>
      </c>
      <c r="E204" s="2">
        <v>7.0</v>
      </c>
      <c r="F204" s="2" t="s">
        <v>31</v>
      </c>
      <c r="G204" s="2" t="s">
        <v>69</v>
      </c>
      <c r="H204" s="2">
        <v>4.0</v>
      </c>
      <c r="I204" s="2">
        <v>4.0</v>
      </c>
      <c r="J204" s="2" t="s">
        <v>22</v>
      </c>
      <c r="K204" s="2" t="s">
        <v>23</v>
      </c>
      <c r="L204" s="2">
        <v>4.0</v>
      </c>
      <c r="M204" s="2" t="s">
        <v>19</v>
      </c>
      <c r="N204" s="2">
        <v>4.0</v>
      </c>
    </row>
    <row r="205">
      <c r="A205" s="2">
        <v>204.0</v>
      </c>
      <c r="B205" s="3">
        <v>45588.0</v>
      </c>
      <c r="C205" s="3">
        <v>45598.0</v>
      </c>
      <c r="D205" s="3" t="s">
        <v>14</v>
      </c>
      <c r="E205" s="2">
        <v>10.0</v>
      </c>
      <c r="F205" s="2" t="s">
        <v>31</v>
      </c>
      <c r="G205" s="2" t="s">
        <v>69</v>
      </c>
      <c r="H205" s="2">
        <v>3.0</v>
      </c>
      <c r="I205" s="2">
        <v>2.0</v>
      </c>
      <c r="J205" s="2" t="s">
        <v>38</v>
      </c>
      <c r="K205" s="2" t="s">
        <v>18</v>
      </c>
      <c r="L205" s="2">
        <v>1.0</v>
      </c>
      <c r="M205" s="2" t="s">
        <v>24</v>
      </c>
      <c r="N205" s="2">
        <v>5.0</v>
      </c>
    </row>
    <row r="206">
      <c r="A206" s="2">
        <v>205.0</v>
      </c>
      <c r="B206" s="3">
        <v>45614.0</v>
      </c>
      <c r="C206" s="3" t="s">
        <v>29</v>
      </c>
      <c r="D206" s="3" t="s">
        <v>30</v>
      </c>
      <c r="E206" s="2" t="s">
        <v>29</v>
      </c>
      <c r="F206" s="2" t="s">
        <v>42</v>
      </c>
      <c r="G206" s="2" t="s">
        <v>43</v>
      </c>
      <c r="H206" s="2">
        <v>1.0</v>
      </c>
      <c r="I206" s="2" t="s">
        <v>29</v>
      </c>
      <c r="J206" s="2" t="s">
        <v>57</v>
      </c>
      <c r="K206" s="2" t="s">
        <v>23</v>
      </c>
      <c r="L206" s="2">
        <v>3.0</v>
      </c>
      <c r="M206" s="2" t="s">
        <v>24</v>
      </c>
      <c r="N206" s="2">
        <v>6.0</v>
      </c>
    </row>
    <row r="207">
      <c r="A207" s="2">
        <v>206.0</v>
      </c>
      <c r="B207" s="3">
        <v>45302.0</v>
      </c>
      <c r="C207" s="3">
        <v>45315.0</v>
      </c>
      <c r="D207" s="3" t="s">
        <v>14</v>
      </c>
      <c r="E207" s="2">
        <v>13.0</v>
      </c>
      <c r="F207" s="2" t="s">
        <v>25</v>
      </c>
      <c r="G207" s="2" t="s">
        <v>68</v>
      </c>
      <c r="H207" s="2">
        <v>1.0</v>
      </c>
      <c r="I207" s="2">
        <v>1.0</v>
      </c>
      <c r="J207" s="2" t="s">
        <v>62</v>
      </c>
      <c r="K207" s="2" t="s">
        <v>18</v>
      </c>
      <c r="L207" s="2">
        <v>3.0</v>
      </c>
      <c r="M207" s="2" t="s">
        <v>24</v>
      </c>
      <c r="N207" s="2">
        <v>6.0</v>
      </c>
    </row>
    <row r="208">
      <c r="A208" s="2">
        <v>207.0</v>
      </c>
      <c r="B208" s="3">
        <v>45480.0</v>
      </c>
      <c r="C208" s="3">
        <v>45491.0</v>
      </c>
      <c r="D208" s="3" t="s">
        <v>14</v>
      </c>
      <c r="E208" s="2">
        <v>11.0</v>
      </c>
      <c r="F208" s="2" t="s">
        <v>25</v>
      </c>
      <c r="G208" s="2" t="s">
        <v>26</v>
      </c>
      <c r="H208" s="2">
        <v>3.0</v>
      </c>
      <c r="I208" s="2">
        <v>2.0</v>
      </c>
      <c r="J208" s="2" t="s">
        <v>64</v>
      </c>
      <c r="K208" s="2" t="s">
        <v>28</v>
      </c>
      <c r="L208" s="2">
        <v>3.0</v>
      </c>
      <c r="M208" s="2" t="s">
        <v>19</v>
      </c>
      <c r="N208" s="2">
        <v>2.0</v>
      </c>
    </row>
    <row r="209">
      <c r="A209" s="2">
        <v>208.0</v>
      </c>
      <c r="B209" s="3">
        <v>45417.0</v>
      </c>
      <c r="C209" s="3" t="s">
        <v>29</v>
      </c>
      <c r="D209" s="3" t="s">
        <v>30</v>
      </c>
      <c r="E209" s="2" t="s">
        <v>29</v>
      </c>
      <c r="F209" s="2" t="s">
        <v>15</v>
      </c>
      <c r="G209" s="2" t="s">
        <v>16</v>
      </c>
      <c r="H209" s="2">
        <v>1.0</v>
      </c>
      <c r="I209" s="2" t="s">
        <v>29</v>
      </c>
      <c r="J209" s="2" t="s">
        <v>44</v>
      </c>
      <c r="K209" s="2" t="s">
        <v>28</v>
      </c>
      <c r="L209" s="2">
        <v>4.0</v>
      </c>
      <c r="M209" s="2" t="s">
        <v>24</v>
      </c>
      <c r="N209" s="2">
        <v>5.0</v>
      </c>
    </row>
    <row r="210">
      <c r="A210" s="2">
        <v>209.0</v>
      </c>
      <c r="B210" s="3">
        <v>45311.0</v>
      </c>
      <c r="C210" s="3">
        <v>45343.0</v>
      </c>
      <c r="D210" s="3" t="s">
        <v>14</v>
      </c>
      <c r="E210" s="2">
        <v>32.0</v>
      </c>
      <c r="F210" s="2" t="s">
        <v>15</v>
      </c>
      <c r="G210" s="2" t="s">
        <v>37</v>
      </c>
      <c r="H210" s="2">
        <v>1.0</v>
      </c>
      <c r="I210" s="2">
        <v>1.0</v>
      </c>
      <c r="J210" s="2" t="s">
        <v>33</v>
      </c>
      <c r="K210" s="2" t="s">
        <v>18</v>
      </c>
      <c r="L210" s="2">
        <v>3.0</v>
      </c>
      <c r="M210" s="2" t="s">
        <v>24</v>
      </c>
      <c r="N210" s="2">
        <v>4.0</v>
      </c>
    </row>
    <row r="211">
      <c r="A211" s="2">
        <v>210.0</v>
      </c>
      <c r="B211" s="3">
        <v>45351.0</v>
      </c>
      <c r="C211" s="3">
        <v>45356.0</v>
      </c>
      <c r="D211" s="3" t="s">
        <v>14</v>
      </c>
      <c r="E211" s="2">
        <v>5.0</v>
      </c>
      <c r="F211" s="2" t="s">
        <v>20</v>
      </c>
      <c r="G211" s="2" t="s">
        <v>48</v>
      </c>
      <c r="H211" s="2">
        <v>4.0</v>
      </c>
      <c r="I211" s="2">
        <v>2.0</v>
      </c>
      <c r="J211" s="2" t="s">
        <v>63</v>
      </c>
      <c r="K211" s="2" t="s">
        <v>60</v>
      </c>
      <c r="L211" s="2">
        <v>3.0</v>
      </c>
      <c r="M211" s="2" t="s">
        <v>19</v>
      </c>
      <c r="N211" s="2">
        <v>1.0</v>
      </c>
    </row>
    <row r="212">
      <c r="A212" s="2">
        <v>211.0</v>
      </c>
      <c r="B212" s="3">
        <v>45634.0</v>
      </c>
      <c r="C212" s="3">
        <v>45643.0</v>
      </c>
      <c r="D212" s="3" t="s">
        <v>14</v>
      </c>
      <c r="E212" s="2">
        <v>9.0</v>
      </c>
      <c r="F212" s="2" t="s">
        <v>45</v>
      </c>
      <c r="G212" s="2" t="s">
        <v>46</v>
      </c>
      <c r="H212" s="2">
        <v>2.0</v>
      </c>
      <c r="I212" s="2">
        <v>1.0</v>
      </c>
      <c r="J212" s="2" t="s">
        <v>64</v>
      </c>
      <c r="K212" s="2" t="s">
        <v>23</v>
      </c>
      <c r="L212" s="2">
        <v>1.0</v>
      </c>
      <c r="M212" s="2" t="s">
        <v>19</v>
      </c>
      <c r="N212" s="2">
        <v>5.0</v>
      </c>
    </row>
    <row r="213">
      <c r="A213" s="2">
        <v>212.0</v>
      </c>
      <c r="B213" s="3">
        <v>45365.0</v>
      </c>
      <c r="C213" s="3">
        <v>45397.0</v>
      </c>
      <c r="D213" s="3" t="s">
        <v>14</v>
      </c>
      <c r="E213" s="2">
        <v>32.0</v>
      </c>
      <c r="F213" s="2" t="s">
        <v>20</v>
      </c>
      <c r="G213" s="2" t="s">
        <v>48</v>
      </c>
      <c r="H213" s="2">
        <v>2.0</v>
      </c>
      <c r="I213" s="2">
        <v>1.0</v>
      </c>
      <c r="J213" s="2" t="s">
        <v>22</v>
      </c>
      <c r="K213" s="2" t="s">
        <v>60</v>
      </c>
      <c r="L213" s="2">
        <v>1.0</v>
      </c>
      <c r="M213" s="2" t="s">
        <v>24</v>
      </c>
      <c r="N213" s="2">
        <v>1.0</v>
      </c>
    </row>
    <row r="214">
      <c r="A214" s="2">
        <v>213.0</v>
      </c>
      <c r="B214" s="3">
        <v>45416.0</v>
      </c>
      <c r="C214" s="3">
        <v>45420.0</v>
      </c>
      <c r="D214" s="3" t="s">
        <v>14</v>
      </c>
      <c r="E214" s="2">
        <v>4.0</v>
      </c>
      <c r="F214" s="2" t="s">
        <v>20</v>
      </c>
      <c r="G214" s="2" t="s">
        <v>21</v>
      </c>
      <c r="H214" s="2">
        <v>1.0</v>
      </c>
      <c r="I214" s="2">
        <v>1.0</v>
      </c>
      <c r="J214" s="2" t="s">
        <v>62</v>
      </c>
      <c r="K214" s="2" t="s">
        <v>39</v>
      </c>
      <c r="L214" s="2">
        <v>5.0</v>
      </c>
      <c r="M214" s="2" t="s">
        <v>24</v>
      </c>
      <c r="N214" s="2">
        <v>2.0</v>
      </c>
    </row>
    <row r="215">
      <c r="A215" s="2">
        <v>214.0</v>
      </c>
      <c r="B215" s="3">
        <v>45726.0</v>
      </c>
      <c r="C215" s="3" t="s">
        <v>29</v>
      </c>
      <c r="D215" s="3" t="s">
        <v>52</v>
      </c>
      <c r="E215" s="2" t="s">
        <v>29</v>
      </c>
      <c r="F215" s="2" t="s">
        <v>25</v>
      </c>
      <c r="G215" s="2" t="s">
        <v>61</v>
      </c>
      <c r="H215" s="2">
        <v>4.0</v>
      </c>
      <c r="I215" s="2" t="s">
        <v>29</v>
      </c>
      <c r="J215" s="2" t="s">
        <v>49</v>
      </c>
      <c r="K215" s="2" t="s">
        <v>60</v>
      </c>
      <c r="L215" s="2">
        <v>5.0</v>
      </c>
      <c r="M215" s="2" t="s">
        <v>19</v>
      </c>
      <c r="N215" s="2">
        <v>5.0</v>
      </c>
    </row>
    <row r="216">
      <c r="A216" s="2">
        <v>215.0</v>
      </c>
      <c r="B216" s="3">
        <v>45793.0</v>
      </c>
      <c r="C216" s="3">
        <v>45795.0</v>
      </c>
      <c r="D216" s="3" t="s">
        <v>14</v>
      </c>
      <c r="E216" s="2">
        <v>2.0</v>
      </c>
      <c r="F216" s="2" t="s">
        <v>15</v>
      </c>
      <c r="G216" s="2" t="s">
        <v>37</v>
      </c>
      <c r="H216" s="2">
        <v>3.0</v>
      </c>
      <c r="I216" s="2">
        <v>2.0</v>
      </c>
      <c r="J216" s="2" t="s">
        <v>47</v>
      </c>
      <c r="K216" s="2" t="s">
        <v>18</v>
      </c>
      <c r="L216" s="2">
        <v>6.0</v>
      </c>
      <c r="M216" s="2" t="s">
        <v>19</v>
      </c>
      <c r="N216" s="2">
        <v>5.0</v>
      </c>
    </row>
    <row r="217">
      <c r="A217" s="2">
        <v>216.0</v>
      </c>
      <c r="B217" s="3">
        <v>45616.0</v>
      </c>
      <c r="C217" s="3">
        <v>45654.0</v>
      </c>
      <c r="D217" s="3" t="s">
        <v>14</v>
      </c>
      <c r="E217" s="2">
        <v>38.0</v>
      </c>
      <c r="F217" s="2" t="s">
        <v>31</v>
      </c>
      <c r="G217" s="2" t="s">
        <v>69</v>
      </c>
      <c r="H217" s="2">
        <v>4.0</v>
      </c>
      <c r="I217" s="2">
        <v>2.0</v>
      </c>
      <c r="J217" s="2" t="s">
        <v>66</v>
      </c>
      <c r="K217" s="2" t="s">
        <v>28</v>
      </c>
      <c r="L217" s="2">
        <v>6.0</v>
      </c>
      <c r="M217" s="2" t="s">
        <v>24</v>
      </c>
      <c r="N217" s="2">
        <v>2.0</v>
      </c>
    </row>
    <row r="218">
      <c r="A218" s="2">
        <v>217.0</v>
      </c>
      <c r="B218" s="3">
        <v>45380.0</v>
      </c>
      <c r="C218" s="3">
        <v>45413.0</v>
      </c>
      <c r="D218" s="3" t="s">
        <v>14</v>
      </c>
      <c r="E218" s="2">
        <v>33.0</v>
      </c>
      <c r="F218" s="2" t="s">
        <v>45</v>
      </c>
      <c r="G218" s="2" t="s">
        <v>56</v>
      </c>
      <c r="H218" s="2">
        <v>4.0</v>
      </c>
      <c r="I218" s="2">
        <v>3.0</v>
      </c>
      <c r="J218" s="2" t="s">
        <v>58</v>
      </c>
      <c r="K218" s="2" t="s">
        <v>23</v>
      </c>
      <c r="L218" s="2">
        <v>5.0</v>
      </c>
      <c r="M218" s="2" t="s">
        <v>24</v>
      </c>
      <c r="N218" s="2">
        <v>5.0</v>
      </c>
    </row>
    <row r="219">
      <c r="A219" s="2">
        <v>218.0</v>
      </c>
      <c r="B219" s="3">
        <v>45831.0</v>
      </c>
      <c r="C219" s="3">
        <v>45845.0</v>
      </c>
      <c r="D219" s="3" t="s">
        <v>14</v>
      </c>
      <c r="E219" s="2">
        <v>14.0</v>
      </c>
      <c r="F219" s="2" t="s">
        <v>15</v>
      </c>
      <c r="G219" s="2" t="s">
        <v>16</v>
      </c>
      <c r="H219" s="2">
        <v>4.0</v>
      </c>
      <c r="I219" s="2">
        <v>4.0</v>
      </c>
      <c r="J219" s="2" t="s">
        <v>58</v>
      </c>
      <c r="K219" s="2" t="s">
        <v>28</v>
      </c>
      <c r="L219" s="2">
        <v>5.0</v>
      </c>
      <c r="M219" s="2" t="s">
        <v>19</v>
      </c>
      <c r="N219" s="2">
        <v>3.0</v>
      </c>
    </row>
    <row r="220">
      <c r="A220" s="2">
        <v>219.0</v>
      </c>
      <c r="B220" s="3">
        <v>45439.0</v>
      </c>
      <c r="C220" s="3">
        <v>45448.0</v>
      </c>
      <c r="D220" s="3" t="s">
        <v>14</v>
      </c>
      <c r="E220" s="2">
        <v>9.0</v>
      </c>
      <c r="F220" s="2" t="s">
        <v>25</v>
      </c>
      <c r="G220" s="2" t="s">
        <v>59</v>
      </c>
      <c r="H220" s="2">
        <v>3.0</v>
      </c>
      <c r="I220" s="2">
        <v>3.0</v>
      </c>
      <c r="J220" s="2" t="s">
        <v>17</v>
      </c>
      <c r="K220" s="2" t="s">
        <v>23</v>
      </c>
      <c r="L220" s="2">
        <v>2.0</v>
      </c>
      <c r="M220" s="2" t="s">
        <v>19</v>
      </c>
      <c r="N220" s="2">
        <v>3.0</v>
      </c>
    </row>
    <row r="221">
      <c r="A221" s="2">
        <v>220.0</v>
      </c>
      <c r="B221" s="3">
        <v>45773.0</v>
      </c>
      <c r="C221" s="3">
        <v>45776.0</v>
      </c>
      <c r="D221" s="3" t="s">
        <v>14</v>
      </c>
      <c r="E221" s="2">
        <v>3.0</v>
      </c>
      <c r="F221" s="2" t="s">
        <v>31</v>
      </c>
      <c r="G221" s="2" t="s">
        <v>32</v>
      </c>
      <c r="H221" s="2">
        <v>1.0</v>
      </c>
      <c r="I221" s="2">
        <v>1.0</v>
      </c>
      <c r="J221" s="2" t="s">
        <v>58</v>
      </c>
      <c r="K221" s="2" t="s">
        <v>18</v>
      </c>
      <c r="L221" s="2">
        <v>2.0</v>
      </c>
      <c r="M221" s="2" t="s">
        <v>19</v>
      </c>
      <c r="N221" s="2">
        <v>5.0</v>
      </c>
    </row>
    <row r="222">
      <c r="A222" s="2">
        <v>221.0</v>
      </c>
      <c r="B222" s="3">
        <v>45510.0</v>
      </c>
      <c r="C222" s="3">
        <v>45521.0</v>
      </c>
      <c r="D222" s="3" t="s">
        <v>14</v>
      </c>
      <c r="E222" s="2">
        <v>11.0</v>
      </c>
      <c r="F222" s="2" t="s">
        <v>42</v>
      </c>
      <c r="G222" s="2" t="s">
        <v>43</v>
      </c>
      <c r="H222" s="2">
        <v>1.0</v>
      </c>
      <c r="I222" s="2">
        <v>1.0</v>
      </c>
      <c r="J222" s="2" t="s">
        <v>17</v>
      </c>
      <c r="K222" s="2" t="s">
        <v>28</v>
      </c>
      <c r="L222" s="2">
        <v>2.0</v>
      </c>
      <c r="M222" s="2" t="s">
        <v>19</v>
      </c>
      <c r="N222" s="2">
        <v>6.0</v>
      </c>
    </row>
    <row r="223">
      <c r="A223" s="2">
        <v>222.0</v>
      </c>
      <c r="B223" s="3">
        <v>45742.0</v>
      </c>
      <c r="C223" s="3">
        <v>45758.0</v>
      </c>
      <c r="D223" s="3" t="s">
        <v>14</v>
      </c>
      <c r="E223" s="2">
        <v>16.0</v>
      </c>
      <c r="F223" s="2" t="s">
        <v>15</v>
      </c>
      <c r="G223" s="2" t="s">
        <v>16</v>
      </c>
      <c r="H223" s="2">
        <v>3.0</v>
      </c>
      <c r="I223" s="2">
        <v>1.0</v>
      </c>
      <c r="J223" s="2" t="s">
        <v>58</v>
      </c>
      <c r="K223" s="2" t="s">
        <v>39</v>
      </c>
      <c r="L223" s="2">
        <v>4.0</v>
      </c>
      <c r="M223" s="2" t="s">
        <v>24</v>
      </c>
      <c r="N223" s="2">
        <v>5.0</v>
      </c>
    </row>
    <row r="224">
      <c r="A224" s="2">
        <v>223.0</v>
      </c>
      <c r="B224" s="3">
        <v>45605.0</v>
      </c>
      <c r="C224" s="3" t="s">
        <v>29</v>
      </c>
      <c r="D224" s="3" t="s">
        <v>52</v>
      </c>
      <c r="E224" s="2" t="s">
        <v>29</v>
      </c>
      <c r="F224" s="2" t="s">
        <v>25</v>
      </c>
      <c r="G224" s="2" t="s">
        <v>26</v>
      </c>
      <c r="H224" s="2">
        <v>3.0</v>
      </c>
      <c r="I224" s="2" t="s">
        <v>29</v>
      </c>
      <c r="J224" s="2" t="s">
        <v>66</v>
      </c>
      <c r="K224" s="2" t="s">
        <v>60</v>
      </c>
      <c r="L224" s="2">
        <v>5.0</v>
      </c>
      <c r="M224" s="2" t="s">
        <v>19</v>
      </c>
      <c r="N224" s="2">
        <v>5.0</v>
      </c>
    </row>
    <row r="225">
      <c r="A225" s="2">
        <v>224.0</v>
      </c>
      <c r="B225" s="3">
        <v>45809.0</v>
      </c>
      <c r="C225" s="3">
        <v>45823.0</v>
      </c>
      <c r="D225" s="3" t="s">
        <v>14</v>
      </c>
      <c r="E225" s="2">
        <v>14.0</v>
      </c>
      <c r="F225" s="2" t="s">
        <v>31</v>
      </c>
      <c r="G225" s="2" t="s">
        <v>69</v>
      </c>
      <c r="H225" s="2">
        <v>1.0</v>
      </c>
      <c r="I225" s="2">
        <v>1.0</v>
      </c>
      <c r="J225" s="2" t="s">
        <v>63</v>
      </c>
      <c r="K225" s="2" t="s">
        <v>18</v>
      </c>
      <c r="L225" s="2">
        <v>6.0</v>
      </c>
      <c r="M225" s="2" t="s">
        <v>19</v>
      </c>
      <c r="N225" s="2">
        <v>2.0</v>
      </c>
    </row>
    <row r="226">
      <c r="A226" s="2">
        <v>225.0</v>
      </c>
      <c r="B226" s="3">
        <v>45460.0</v>
      </c>
      <c r="C226" s="3">
        <v>45462.0</v>
      </c>
      <c r="D226" s="3" t="s">
        <v>14</v>
      </c>
      <c r="E226" s="2">
        <v>2.0</v>
      </c>
      <c r="F226" s="2" t="s">
        <v>20</v>
      </c>
      <c r="G226" s="2" t="s">
        <v>41</v>
      </c>
      <c r="H226" s="2">
        <v>3.0</v>
      </c>
      <c r="I226" s="2">
        <v>1.0</v>
      </c>
      <c r="J226" s="2" t="s">
        <v>57</v>
      </c>
      <c r="K226" s="2" t="s">
        <v>18</v>
      </c>
      <c r="L226" s="2">
        <v>4.0</v>
      </c>
      <c r="M226" s="2" t="s">
        <v>19</v>
      </c>
      <c r="N226" s="2">
        <v>3.0</v>
      </c>
    </row>
    <row r="227">
      <c r="A227" s="2">
        <v>226.0</v>
      </c>
      <c r="B227" s="3">
        <v>45578.0</v>
      </c>
      <c r="C227" s="3" t="s">
        <v>29</v>
      </c>
      <c r="D227" s="3" t="s">
        <v>52</v>
      </c>
      <c r="E227" s="2" t="s">
        <v>29</v>
      </c>
      <c r="F227" s="2" t="s">
        <v>15</v>
      </c>
      <c r="G227" s="2" t="s">
        <v>37</v>
      </c>
      <c r="H227" s="2">
        <v>4.0</v>
      </c>
      <c r="I227" s="2" t="s">
        <v>29</v>
      </c>
      <c r="J227" s="2" t="s">
        <v>57</v>
      </c>
      <c r="K227" s="2" t="s">
        <v>60</v>
      </c>
      <c r="L227" s="2">
        <v>1.0</v>
      </c>
      <c r="M227" s="2" t="s">
        <v>24</v>
      </c>
      <c r="N227" s="2">
        <v>3.0</v>
      </c>
    </row>
    <row r="228">
      <c r="A228" s="2">
        <v>227.0</v>
      </c>
      <c r="B228" s="3">
        <v>45692.0</v>
      </c>
      <c r="C228" s="3">
        <v>45696.0</v>
      </c>
      <c r="D228" s="3" t="s">
        <v>14</v>
      </c>
      <c r="E228" s="2">
        <v>4.0</v>
      </c>
      <c r="F228" s="2" t="s">
        <v>15</v>
      </c>
      <c r="G228" s="2" t="s">
        <v>16</v>
      </c>
      <c r="H228" s="2">
        <v>1.0</v>
      </c>
      <c r="I228" s="2">
        <v>1.0</v>
      </c>
      <c r="J228" s="2" t="s">
        <v>38</v>
      </c>
      <c r="K228" s="2" t="s">
        <v>39</v>
      </c>
      <c r="L228" s="2">
        <v>1.0</v>
      </c>
      <c r="M228" s="2" t="s">
        <v>24</v>
      </c>
      <c r="N228" s="2">
        <v>2.0</v>
      </c>
    </row>
    <row r="229">
      <c r="A229" s="2">
        <v>228.0</v>
      </c>
      <c r="B229" s="3">
        <v>45663.0</v>
      </c>
      <c r="C229" s="3">
        <v>45667.0</v>
      </c>
      <c r="D229" s="3" t="s">
        <v>14</v>
      </c>
      <c r="E229" s="2">
        <v>4.0</v>
      </c>
      <c r="F229" s="2" t="s">
        <v>15</v>
      </c>
      <c r="G229" s="2" t="s">
        <v>37</v>
      </c>
      <c r="H229" s="2">
        <v>1.0</v>
      </c>
      <c r="I229" s="2">
        <v>1.0</v>
      </c>
      <c r="J229" s="2" t="s">
        <v>22</v>
      </c>
      <c r="K229" s="2" t="s">
        <v>34</v>
      </c>
      <c r="L229" s="2">
        <v>2.0</v>
      </c>
      <c r="M229" s="2" t="s">
        <v>19</v>
      </c>
      <c r="N229" s="2">
        <v>6.0</v>
      </c>
    </row>
    <row r="230">
      <c r="A230" s="2">
        <v>229.0</v>
      </c>
      <c r="B230" s="3">
        <v>45348.0</v>
      </c>
      <c r="C230" s="3">
        <v>45374.0</v>
      </c>
      <c r="D230" s="3" t="s">
        <v>14</v>
      </c>
      <c r="E230" s="2">
        <v>26.0</v>
      </c>
      <c r="F230" s="2" t="s">
        <v>42</v>
      </c>
      <c r="G230" s="2" t="s">
        <v>53</v>
      </c>
      <c r="H230" s="2">
        <v>4.0</v>
      </c>
      <c r="I230" s="2">
        <v>2.0</v>
      </c>
      <c r="J230" s="2" t="s">
        <v>17</v>
      </c>
      <c r="K230" s="2" t="s">
        <v>18</v>
      </c>
      <c r="L230" s="2">
        <v>6.0</v>
      </c>
      <c r="M230" s="2" t="s">
        <v>24</v>
      </c>
      <c r="N230" s="2">
        <v>2.0</v>
      </c>
    </row>
    <row r="231">
      <c r="A231" s="2">
        <v>230.0</v>
      </c>
      <c r="B231" s="3">
        <v>45563.0</v>
      </c>
      <c r="C231" s="3">
        <v>45571.0</v>
      </c>
      <c r="D231" s="3" t="s">
        <v>14</v>
      </c>
      <c r="E231" s="2">
        <v>8.0</v>
      </c>
      <c r="F231" s="2" t="s">
        <v>15</v>
      </c>
      <c r="G231" s="2" t="s">
        <v>37</v>
      </c>
      <c r="H231" s="2">
        <v>1.0</v>
      </c>
      <c r="I231" s="2">
        <v>1.0</v>
      </c>
      <c r="J231" s="2" t="s">
        <v>58</v>
      </c>
      <c r="K231" s="2" t="s">
        <v>34</v>
      </c>
      <c r="L231" s="2">
        <v>2.0</v>
      </c>
      <c r="M231" s="2" t="s">
        <v>24</v>
      </c>
      <c r="N231" s="2">
        <v>1.0</v>
      </c>
    </row>
    <row r="232">
      <c r="A232" s="2">
        <v>231.0</v>
      </c>
      <c r="B232" s="3">
        <v>45355.0</v>
      </c>
      <c r="C232" s="3">
        <v>45359.0</v>
      </c>
      <c r="D232" s="3" t="s">
        <v>14</v>
      </c>
      <c r="E232" s="2">
        <v>4.0</v>
      </c>
      <c r="F232" s="2" t="s">
        <v>45</v>
      </c>
      <c r="G232" s="2" t="s">
        <v>56</v>
      </c>
      <c r="H232" s="2">
        <v>2.0</v>
      </c>
      <c r="I232" s="2">
        <v>2.0</v>
      </c>
      <c r="J232" s="2" t="s">
        <v>55</v>
      </c>
      <c r="K232" s="2" t="s">
        <v>18</v>
      </c>
      <c r="L232" s="2">
        <v>5.0</v>
      </c>
      <c r="M232" s="2" t="s">
        <v>24</v>
      </c>
      <c r="N232" s="2">
        <v>5.0</v>
      </c>
    </row>
    <row r="233">
      <c r="A233" s="2">
        <v>232.0</v>
      </c>
      <c r="B233" s="3">
        <v>45639.0</v>
      </c>
      <c r="C233" s="3">
        <v>45668.0</v>
      </c>
      <c r="D233" s="3" t="s">
        <v>14</v>
      </c>
      <c r="E233" s="2">
        <v>29.0</v>
      </c>
      <c r="F233" s="2" t="s">
        <v>25</v>
      </c>
      <c r="G233" s="2" t="s">
        <v>68</v>
      </c>
      <c r="H233" s="2">
        <v>1.0</v>
      </c>
      <c r="I233" s="2">
        <v>1.0</v>
      </c>
      <c r="J233" s="2" t="s">
        <v>63</v>
      </c>
      <c r="K233" s="2" t="s">
        <v>34</v>
      </c>
      <c r="L233" s="2">
        <v>6.0</v>
      </c>
      <c r="M233" s="2" t="s">
        <v>19</v>
      </c>
      <c r="N233" s="2">
        <v>1.0</v>
      </c>
    </row>
    <row r="234">
      <c r="A234" s="2">
        <v>233.0</v>
      </c>
      <c r="B234" s="3">
        <v>45666.0</v>
      </c>
      <c r="C234" s="3" t="s">
        <v>29</v>
      </c>
      <c r="D234" s="3" t="s">
        <v>52</v>
      </c>
      <c r="E234" s="2" t="s">
        <v>29</v>
      </c>
      <c r="F234" s="2" t="s">
        <v>31</v>
      </c>
      <c r="G234" s="2" t="s">
        <v>54</v>
      </c>
      <c r="H234" s="2">
        <v>3.0</v>
      </c>
      <c r="I234" s="2" t="s">
        <v>29</v>
      </c>
      <c r="J234" s="2" t="s">
        <v>27</v>
      </c>
      <c r="K234" s="2" t="s">
        <v>23</v>
      </c>
      <c r="L234" s="2">
        <v>6.0</v>
      </c>
      <c r="M234" s="2" t="s">
        <v>19</v>
      </c>
      <c r="N234" s="2">
        <v>3.0</v>
      </c>
    </row>
    <row r="235">
      <c r="A235" s="2">
        <v>234.0</v>
      </c>
      <c r="B235" s="3">
        <v>45650.0</v>
      </c>
      <c r="C235" s="3">
        <v>45657.0</v>
      </c>
      <c r="D235" s="3" t="s">
        <v>14</v>
      </c>
      <c r="E235" s="2">
        <v>7.0</v>
      </c>
      <c r="F235" s="2" t="s">
        <v>45</v>
      </c>
      <c r="G235" s="2" t="s">
        <v>70</v>
      </c>
      <c r="H235" s="2">
        <v>4.0</v>
      </c>
      <c r="I235" s="2">
        <v>2.0</v>
      </c>
      <c r="J235" s="2" t="s">
        <v>58</v>
      </c>
      <c r="K235" s="2" t="s">
        <v>60</v>
      </c>
      <c r="L235" s="2">
        <v>6.0</v>
      </c>
      <c r="M235" s="2" t="s">
        <v>24</v>
      </c>
      <c r="N235" s="2">
        <v>5.0</v>
      </c>
    </row>
    <row r="236">
      <c r="A236" s="2">
        <v>235.0</v>
      </c>
      <c r="B236" s="3">
        <v>45311.0</v>
      </c>
      <c r="C236" s="3">
        <v>45320.0</v>
      </c>
      <c r="D236" s="3" t="s">
        <v>14</v>
      </c>
      <c r="E236" s="2">
        <v>9.0</v>
      </c>
      <c r="F236" s="2" t="s">
        <v>31</v>
      </c>
      <c r="G236" s="2" t="s">
        <v>69</v>
      </c>
      <c r="H236" s="2">
        <v>1.0</v>
      </c>
      <c r="I236" s="2">
        <v>1.0</v>
      </c>
      <c r="J236" s="2" t="s">
        <v>36</v>
      </c>
      <c r="K236" s="2" t="s">
        <v>39</v>
      </c>
      <c r="L236" s="2">
        <v>5.0</v>
      </c>
      <c r="M236" s="2" t="s">
        <v>19</v>
      </c>
      <c r="N236" s="2">
        <v>5.0</v>
      </c>
    </row>
    <row r="237">
      <c r="A237" s="2">
        <v>236.0</v>
      </c>
      <c r="B237" s="3">
        <v>45411.0</v>
      </c>
      <c r="C237" s="3">
        <v>45421.0</v>
      </c>
      <c r="D237" s="3" t="s">
        <v>14</v>
      </c>
      <c r="E237" s="2">
        <v>10.0</v>
      </c>
      <c r="F237" s="2" t="s">
        <v>15</v>
      </c>
      <c r="G237" s="2" t="s">
        <v>37</v>
      </c>
      <c r="H237" s="2">
        <v>3.0</v>
      </c>
      <c r="I237" s="2">
        <v>3.0</v>
      </c>
      <c r="J237" s="2" t="s">
        <v>44</v>
      </c>
      <c r="K237" s="2" t="s">
        <v>60</v>
      </c>
      <c r="L237" s="2">
        <v>3.0</v>
      </c>
      <c r="M237" s="2" t="s">
        <v>24</v>
      </c>
      <c r="N237" s="2">
        <v>6.0</v>
      </c>
    </row>
    <row r="238">
      <c r="A238" s="2">
        <v>237.0</v>
      </c>
      <c r="B238" s="3">
        <v>45311.0</v>
      </c>
      <c r="C238" s="3">
        <v>45325.0</v>
      </c>
      <c r="D238" s="3" t="s">
        <v>14</v>
      </c>
      <c r="E238" s="2">
        <v>14.0</v>
      </c>
      <c r="F238" s="2" t="s">
        <v>45</v>
      </c>
      <c r="G238" s="2" t="s">
        <v>70</v>
      </c>
      <c r="H238" s="2">
        <v>1.0</v>
      </c>
      <c r="I238" s="2">
        <v>1.0</v>
      </c>
      <c r="J238" s="2" t="s">
        <v>64</v>
      </c>
      <c r="K238" s="2" t="s">
        <v>60</v>
      </c>
      <c r="L238" s="2">
        <v>3.0</v>
      </c>
      <c r="M238" s="2" t="s">
        <v>19</v>
      </c>
      <c r="N238" s="2">
        <v>5.0</v>
      </c>
    </row>
    <row r="239">
      <c r="A239" s="2">
        <v>238.0</v>
      </c>
      <c r="B239" s="3">
        <v>45359.0</v>
      </c>
      <c r="C239" s="3" t="s">
        <v>29</v>
      </c>
      <c r="D239" s="3" t="s">
        <v>52</v>
      </c>
      <c r="E239" s="2" t="s">
        <v>29</v>
      </c>
      <c r="F239" s="2" t="s">
        <v>45</v>
      </c>
      <c r="G239" s="2" t="s">
        <v>56</v>
      </c>
      <c r="H239" s="2">
        <v>3.0</v>
      </c>
      <c r="I239" s="2" t="s">
        <v>29</v>
      </c>
      <c r="J239" s="2" t="s">
        <v>47</v>
      </c>
      <c r="K239" s="2" t="s">
        <v>23</v>
      </c>
      <c r="L239" s="2">
        <v>6.0</v>
      </c>
      <c r="M239" s="2" t="s">
        <v>24</v>
      </c>
      <c r="N239" s="2">
        <v>5.0</v>
      </c>
    </row>
    <row r="240">
      <c r="A240" s="2">
        <v>239.0</v>
      </c>
      <c r="B240" s="3">
        <v>45712.0</v>
      </c>
      <c r="C240" s="3">
        <v>45715.0</v>
      </c>
      <c r="D240" s="3" t="s">
        <v>14</v>
      </c>
      <c r="E240" s="2">
        <v>3.0</v>
      </c>
      <c r="F240" s="2" t="s">
        <v>20</v>
      </c>
      <c r="G240" s="2" t="s">
        <v>21</v>
      </c>
      <c r="H240" s="2">
        <v>3.0</v>
      </c>
      <c r="I240" s="2">
        <v>2.0</v>
      </c>
      <c r="J240" s="2" t="s">
        <v>22</v>
      </c>
      <c r="K240" s="2" t="s">
        <v>23</v>
      </c>
      <c r="L240" s="2">
        <v>2.0</v>
      </c>
      <c r="M240" s="2" t="s">
        <v>24</v>
      </c>
      <c r="N240" s="2">
        <v>5.0</v>
      </c>
    </row>
    <row r="241">
      <c r="A241" s="2">
        <v>240.0</v>
      </c>
      <c r="B241" s="3">
        <v>45427.0</v>
      </c>
      <c r="C241" s="3">
        <v>45428.0</v>
      </c>
      <c r="D241" s="3" t="s">
        <v>14</v>
      </c>
      <c r="E241" s="2">
        <v>1.0</v>
      </c>
      <c r="F241" s="2" t="s">
        <v>15</v>
      </c>
      <c r="G241" s="2" t="s">
        <v>16</v>
      </c>
      <c r="H241" s="2">
        <v>1.0</v>
      </c>
      <c r="I241" s="2">
        <v>1.0</v>
      </c>
      <c r="J241" s="2" t="s">
        <v>63</v>
      </c>
      <c r="K241" s="2" t="s">
        <v>28</v>
      </c>
      <c r="L241" s="2">
        <v>1.0</v>
      </c>
      <c r="M241" s="2" t="s">
        <v>24</v>
      </c>
      <c r="N241" s="2">
        <v>1.0</v>
      </c>
    </row>
    <row r="242">
      <c r="A242" s="2">
        <v>241.0</v>
      </c>
      <c r="B242" s="3">
        <v>45382.0</v>
      </c>
      <c r="C242" s="3">
        <v>45392.0</v>
      </c>
      <c r="D242" s="3" t="s">
        <v>14</v>
      </c>
      <c r="E242" s="2">
        <v>10.0</v>
      </c>
      <c r="F242" s="2" t="s">
        <v>42</v>
      </c>
      <c r="G242" s="2" t="s">
        <v>65</v>
      </c>
      <c r="H242" s="2">
        <v>2.0</v>
      </c>
      <c r="I242" s="2">
        <v>1.0</v>
      </c>
      <c r="J242" s="2" t="s">
        <v>27</v>
      </c>
      <c r="K242" s="2" t="s">
        <v>39</v>
      </c>
      <c r="L242" s="2">
        <v>5.0</v>
      </c>
      <c r="M242" s="2" t="s">
        <v>24</v>
      </c>
      <c r="N242" s="2">
        <v>1.0</v>
      </c>
    </row>
    <row r="243">
      <c r="A243" s="2">
        <v>242.0</v>
      </c>
      <c r="B243" s="3">
        <v>45676.0</v>
      </c>
      <c r="C243" s="3">
        <v>45699.0</v>
      </c>
      <c r="D243" s="3" t="s">
        <v>14</v>
      </c>
      <c r="E243" s="2">
        <v>23.0</v>
      </c>
      <c r="F243" s="2" t="s">
        <v>20</v>
      </c>
      <c r="G243" s="2" t="s">
        <v>41</v>
      </c>
      <c r="H243" s="2">
        <v>2.0</v>
      </c>
      <c r="I243" s="2">
        <v>1.0</v>
      </c>
      <c r="J243" s="2" t="s">
        <v>63</v>
      </c>
      <c r="K243" s="2" t="s">
        <v>18</v>
      </c>
      <c r="L243" s="2">
        <v>6.0</v>
      </c>
      <c r="M243" s="2" t="s">
        <v>19</v>
      </c>
      <c r="N243" s="2">
        <v>5.0</v>
      </c>
    </row>
    <row r="244">
      <c r="A244" s="2">
        <v>243.0</v>
      </c>
      <c r="B244" s="3">
        <v>45664.0</v>
      </c>
      <c r="C244" s="3">
        <v>45666.0</v>
      </c>
      <c r="D244" s="3" t="s">
        <v>14</v>
      </c>
      <c r="E244" s="2">
        <v>2.0</v>
      </c>
      <c r="F244" s="2" t="s">
        <v>45</v>
      </c>
      <c r="G244" s="2" t="s">
        <v>70</v>
      </c>
      <c r="H244" s="2">
        <v>2.0</v>
      </c>
      <c r="I244" s="2">
        <v>2.0</v>
      </c>
      <c r="J244" s="2" t="s">
        <v>55</v>
      </c>
      <c r="K244" s="2" t="s">
        <v>60</v>
      </c>
      <c r="L244" s="2">
        <v>3.0</v>
      </c>
      <c r="M244" s="2" t="s">
        <v>19</v>
      </c>
      <c r="N244" s="2">
        <v>6.0</v>
      </c>
    </row>
    <row r="245">
      <c r="A245" s="2">
        <v>244.0</v>
      </c>
      <c r="B245" s="3">
        <v>45545.0</v>
      </c>
      <c r="C245" s="3" t="s">
        <v>29</v>
      </c>
      <c r="D245" s="3" t="s">
        <v>52</v>
      </c>
      <c r="E245" s="2" t="s">
        <v>29</v>
      </c>
      <c r="F245" s="2" t="s">
        <v>31</v>
      </c>
      <c r="G245" s="2" t="s">
        <v>32</v>
      </c>
      <c r="H245" s="2">
        <v>1.0</v>
      </c>
      <c r="I245" s="2" t="s">
        <v>29</v>
      </c>
      <c r="J245" s="2" t="s">
        <v>47</v>
      </c>
      <c r="K245" s="2" t="s">
        <v>23</v>
      </c>
      <c r="L245" s="2">
        <v>4.0</v>
      </c>
      <c r="M245" s="2" t="s">
        <v>19</v>
      </c>
      <c r="N245" s="2">
        <v>3.0</v>
      </c>
    </row>
    <row r="246">
      <c r="A246" s="2">
        <v>245.0</v>
      </c>
      <c r="B246" s="3">
        <v>45754.0</v>
      </c>
      <c r="C246" s="3">
        <v>45757.0</v>
      </c>
      <c r="D246" s="3" t="s">
        <v>14</v>
      </c>
      <c r="E246" s="2">
        <v>3.0</v>
      </c>
      <c r="F246" s="2" t="s">
        <v>20</v>
      </c>
      <c r="G246" s="2" t="s">
        <v>41</v>
      </c>
      <c r="H246" s="2">
        <v>4.0</v>
      </c>
      <c r="I246" s="2">
        <v>3.0</v>
      </c>
      <c r="J246" s="2" t="s">
        <v>58</v>
      </c>
      <c r="K246" s="2" t="s">
        <v>23</v>
      </c>
      <c r="L246" s="2">
        <v>3.0</v>
      </c>
      <c r="M246" s="2" t="s">
        <v>19</v>
      </c>
      <c r="N246" s="2">
        <v>6.0</v>
      </c>
    </row>
    <row r="247">
      <c r="A247" s="2">
        <v>246.0</v>
      </c>
      <c r="B247" s="3">
        <v>45622.0</v>
      </c>
      <c r="C247" s="3">
        <v>45628.0</v>
      </c>
      <c r="D247" s="3" t="s">
        <v>14</v>
      </c>
      <c r="E247" s="2">
        <v>6.0</v>
      </c>
      <c r="F247" s="2" t="s">
        <v>31</v>
      </c>
      <c r="G247" s="2" t="s">
        <v>54</v>
      </c>
      <c r="H247" s="2">
        <v>3.0</v>
      </c>
      <c r="I247" s="2">
        <v>1.0</v>
      </c>
      <c r="J247" s="2" t="s">
        <v>64</v>
      </c>
      <c r="K247" s="2" t="s">
        <v>18</v>
      </c>
      <c r="L247" s="2">
        <v>3.0</v>
      </c>
      <c r="M247" s="2" t="s">
        <v>24</v>
      </c>
      <c r="N247" s="2">
        <v>1.0</v>
      </c>
    </row>
    <row r="248">
      <c r="A248" s="2">
        <v>247.0</v>
      </c>
      <c r="B248" s="3">
        <v>45829.0</v>
      </c>
      <c r="C248" s="3" t="s">
        <v>29</v>
      </c>
      <c r="D248" s="3" t="s">
        <v>52</v>
      </c>
      <c r="E248" s="2" t="s">
        <v>29</v>
      </c>
      <c r="F248" s="2" t="s">
        <v>15</v>
      </c>
      <c r="G248" s="2" t="s">
        <v>16</v>
      </c>
      <c r="H248" s="2">
        <v>4.0</v>
      </c>
      <c r="I248" s="2" t="s">
        <v>29</v>
      </c>
      <c r="J248" s="2" t="s">
        <v>36</v>
      </c>
      <c r="K248" s="2" t="s">
        <v>18</v>
      </c>
      <c r="L248" s="2">
        <v>1.0</v>
      </c>
      <c r="M248" s="2" t="s">
        <v>19</v>
      </c>
      <c r="N248" s="2">
        <v>4.0</v>
      </c>
    </row>
    <row r="249">
      <c r="A249" s="2">
        <v>248.0</v>
      </c>
      <c r="B249" s="3">
        <v>45330.0</v>
      </c>
      <c r="C249" s="3">
        <v>45336.0</v>
      </c>
      <c r="D249" s="3" t="s">
        <v>14</v>
      </c>
      <c r="E249" s="2">
        <v>6.0</v>
      </c>
      <c r="F249" s="2" t="s">
        <v>42</v>
      </c>
      <c r="G249" s="2" t="s">
        <v>65</v>
      </c>
      <c r="H249" s="2">
        <v>2.0</v>
      </c>
      <c r="I249" s="2">
        <v>2.0</v>
      </c>
      <c r="J249" s="2" t="s">
        <v>40</v>
      </c>
      <c r="K249" s="2" t="s">
        <v>34</v>
      </c>
      <c r="L249" s="2">
        <v>4.0</v>
      </c>
      <c r="M249" s="2" t="s">
        <v>24</v>
      </c>
      <c r="N249" s="2">
        <v>6.0</v>
      </c>
    </row>
    <row r="250">
      <c r="A250" s="2">
        <v>249.0</v>
      </c>
      <c r="B250" s="3">
        <v>45517.0</v>
      </c>
      <c r="C250" s="3">
        <v>45528.0</v>
      </c>
      <c r="D250" s="3" t="s">
        <v>14</v>
      </c>
      <c r="E250" s="2">
        <v>11.0</v>
      </c>
      <c r="F250" s="2" t="s">
        <v>42</v>
      </c>
      <c r="G250" s="2" t="s">
        <v>53</v>
      </c>
      <c r="H250" s="2">
        <v>2.0</v>
      </c>
      <c r="I250" s="2">
        <v>2.0</v>
      </c>
      <c r="J250" s="2" t="s">
        <v>40</v>
      </c>
      <c r="K250" s="2" t="s">
        <v>18</v>
      </c>
      <c r="L250" s="2">
        <v>5.0</v>
      </c>
      <c r="M250" s="2" t="s">
        <v>19</v>
      </c>
      <c r="N250" s="2">
        <v>2.0</v>
      </c>
    </row>
    <row r="251">
      <c r="A251" s="2">
        <v>250.0</v>
      </c>
      <c r="B251" s="3">
        <v>45423.0</v>
      </c>
      <c r="C251" s="3" t="s">
        <v>29</v>
      </c>
      <c r="D251" s="3" t="s">
        <v>52</v>
      </c>
      <c r="E251" s="2" t="s">
        <v>29</v>
      </c>
      <c r="F251" s="2" t="s">
        <v>25</v>
      </c>
      <c r="G251" s="2" t="s">
        <v>61</v>
      </c>
      <c r="H251" s="2">
        <v>4.0</v>
      </c>
      <c r="I251" s="2" t="s">
        <v>29</v>
      </c>
      <c r="J251" s="2" t="s">
        <v>66</v>
      </c>
      <c r="K251" s="2" t="s">
        <v>34</v>
      </c>
      <c r="L251" s="2">
        <v>3.0</v>
      </c>
      <c r="M251" s="2" t="s">
        <v>24</v>
      </c>
      <c r="N251" s="2">
        <v>1.0</v>
      </c>
    </row>
    <row r="252">
      <c r="A252" s="2">
        <v>251.0</v>
      </c>
      <c r="B252" s="3">
        <v>45829.0</v>
      </c>
      <c r="C252" s="3">
        <v>45834.0</v>
      </c>
      <c r="D252" s="3" t="s">
        <v>14</v>
      </c>
      <c r="E252" s="2">
        <v>5.0</v>
      </c>
      <c r="F252" s="2" t="s">
        <v>45</v>
      </c>
      <c r="G252" s="2" t="s">
        <v>46</v>
      </c>
      <c r="H252" s="2">
        <v>2.0</v>
      </c>
      <c r="I252" s="2">
        <v>1.0</v>
      </c>
      <c r="J252" s="2" t="s">
        <v>33</v>
      </c>
      <c r="K252" s="2" t="s">
        <v>28</v>
      </c>
      <c r="L252" s="2">
        <v>2.0</v>
      </c>
      <c r="M252" s="2" t="s">
        <v>24</v>
      </c>
      <c r="N252" s="2">
        <v>2.0</v>
      </c>
    </row>
    <row r="253">
      <c r="A253" s="2">
        <v>252.0</v>
      </c>
      <c r="B253" s="3">
        <v>45545.0</v>
      </c>
      <c r="C253" s="3" t="s">
        <v>29</v>
      </c>
      <c r="D253" s="3" t="s">
        <v>52</v>
      </c>
      <c r="E253" s="2" t="s">
        <v>29</v>
      </c>
      <c r="F253" s="2" t="s">
        <v>20</v>
      </c>
      <c r="G253" s="2" t="s">
        <v>21</v>
      </c>
      <c r="H253" s="2">
        <v>1.0</v>
      </c>
      <c r="I253" s="2" t="s">
        <v>29</v>
      </c>
      <c r="J253" s="2" t="s">
        <v>22</v>
      </c>
      <c r="K253" s="2" t="s">
        <v>28</v>
      </c>
      <c r="L253" s="2">
        <v>3.0</v>
      </c>
      <c r="M253" s="2" t="s">
        <v>19</v>
      </c>
      <c r="N253" s="2">
        <v>6.0</v>
      </c>
    </row>
    <row r="254">
      <c r="A254" s="2">
        <v>253.0</v>
      </c>
      <c r="B254" s="3">
        <v>45317.0</v>
      </c>
      <c r="C254" s="3">
        <v>45348.0</v>
      </c>
      <c r="D254" s="3" t="s">
        <v>14</v>
      </c>
      <c r="E254" s="2">
        <v>31.0</v>
      </c>
      <c r="F254" s="2" t="s">
        <v>45</v>
      </c>
      <c r="G254" s="2" t="s">
        <v>46</v>
      </c>
      <c r="H254" s="2">
        <v>3.0</v>
      </c>
      <c r="I254" s="2">
        <v>2.0</v>
      </c>
      <c r="J254" s="2" t="s">
        <v>63</v>
      </c>
      <c r="K254" s="2" t="s">
        <v>28</v>
      </c>
      <c r="L254" s="2">
        <v>6.0</v>
      </c>
      <c r="M254" s="2" t="s">
        <v>19</v>
      </c>
      <c r="N254" s="2">
        <v>1.0</v>
      </c>
    </row>
    <row r="255">
      <c r="A255" s="2">
        <v>254.0</v>
      </c>
      <c r="B255" s="3">
        <v>45761.0</v>
      </c>
      <c r="C255" s="3">
        <v>45775.0</v>
      </c>
      <c r="D255" s="3" t="s">
        <v>14</v>
      </c>
      <c r="E255" s="2">
        <v>14.0</v>
      </c>
      <c r="F255" s="2" t="s">
        <v>25</v>
      </c>
      <c r="G255" s="2" t="s">
        <v>26</v>
      </c>
      <c r="H255" s="2">
        <v>3.0</v>
      </c>
      <c r="I255" s="2">
        <v>1.0</v>
      </c>
      <c r="J255" s="2" t="s">
        <v>58</v>
      </c>
      <c r="K255" s="2" t="s">
        <v>18</v>
      </c>
      <c r="L255" s="2">
        <v>6.0</v>
      </c>
      <c r="M255" s="2" t="s">
        <v>19</v>
      </c>
      <c r="N255" s="2">
        <v>6.0</v>
      </c>
    </row>
    <row r="256">
      <c r="A256" s="2">
        <v>255.0</v>
      </c>
      <c r="B256" s="3">
        <v>45521.0</v>
      </c>
      <c r="C256" s="3">
        <v>45525.0</v>
      </c>
      <c r="D256" s="3" t="s">
        <v>14</v>
      </c>
      <c r="E256" s="2">
        <v>4.0</v>
      </c>
      <c r="F256" s="2" t="s">
        <v>15</v>
      </c>
      <c r="G256" s="2" t="s">
        <v>37</v>
      </c>
      <c r="H256" s="2">
        <v>4.0</v>
      </c>
      <c r="I256" s="2">
        <v>2.0</v>
      </c>
      <c r="J256" s="2" t="s">
        <v>51</v>
      </c>
      <c r="K256" s="2" t="s">
        <v>34</v>
      </c>
      <c r="L256" s="2">
        <v>6.0</v>
      </c>
      <c r="M256" s="2" t="s">
        <v>19</v>
      </c>
      <c r="N256" s="2">
        <v>4.0</v>
      </c>
    </row>
    <row r="257">
      <c r="A257" s="2">
        <v>256.0</v>
      </c>
      <c r="B257" s="3">
        <v>45643.0</v>
      </c>
      <c r="C257" s="3" t="s">
        <v>29</v>
      </c>
      <c r="D257" s="3" t="s">
        <v>52</v>
      </c>
      <c r="E257" s="2" t="s">
        <v>29</v>
      </c>
      <c r="F257" s="2" t="s">
        <v>42</v>
      </c>
      <c r="G257" s="2" t="s">
        <v>65</v>
      </c>
      <c r="H257" s="2">
        <v>1.0</v>
      </c>
      <c r="I257" s="2" t="s">
        <v>29</v>
      </c>
      <c r="J257" s="2" t="s">
        <v>44</v>
      </c>
      <c r="K257" s="2" t="s">
        <v>34</v>
      </c>
      <c r="L257" s="2">
        <v>1.0</v>
      </c>
      <c r="M257" s="2" t="s">
        <v>19</v>
      </c>
      <c r="N257" s="2">
        <v>6.0</v>
      </c>
    </row>
    <row r="258">
      <c r="A258" s="2">
        <v>257.0</v>
      </c>
      <c r="B258" s="3">
        <v>45620.0</v>
      </c>
      <c r="C258" s="3">
        <v>45629.0</v>
      </c>
      <c r="D258" s="3" t="s">
        <v>14</v>
      </c>
      <c r="E258" s="2">
        <v>9.0</v>
      </c>
      <c r="F258" s="2" t="s">
        <v>31</v>
      </c>
      <c r="G258" s="2" t="s">
        <v>35</v>
      </c>
      <c r="H258" s="2">
        <v>3.0</v>
      </c>
      <c r="I258" s="2">
        <v>3.0</v>
      </c>
      <c r="J258" s="2" t="s">
        <v>49</v>
      </c>
      <c r="K258" s="2" t="s">
        <v>23</v>
      </c>
      <c r="L258" s="2">
        <v>3.0</v>
      </c>
      <c r="M258" s="2" t="s">
        <v>19</v>
      </c>
      <c r="N258" s="2">
        <v>5.0</v>
      </c>
    </row>
    <row r="259">
      <c r="A259" s="2">
        <v>258.0</v>
      </c>
      <c r="B259" s="3">
        <v>45725.0</v>
      </c>
      <c r="C259" s="3" t="s">
        <v>29</v>
      </c>
      <c r="D259" s="3" t="s">
        <v>52</v>
      </c>
      <c r="E259" s="2" t="s">
        <v>29</v>
      </c>
      <c r="F259" s="2" t="s">
        <v>31</v>
      </c>
      <c r="G259" s="2" t="s">
        <v>32</v>
      </c>
      <c r="H259" s="2">
        <v>2.0</v>
      </c>
      <c r="I259" s="2" t="s">
        <v>29</v>
      </c>
      <c r="J259" s="2" t="s">
        <v>58</v>
      </c>
      <c r="K259" s="2" t="s">
        <v>39</v>
      </c>
      <c r="L259" s="2">
        <v>1.0</v>
      </c>
      <c r="M259" s="2" t="s">
        <v>24</v>
      </c>
      <c r="N259" s="2">
        <v>3.0</v>
      </c>
    </row>
    <row r="260">
      <c r="A260" s="2">
        <v>259.0</v>
      </c>
      <c r="B260" s="3">
        <v>45789.0</v>
      </c>
      <c r="C260" s="3">
        <v>45797.0</v>
      </c>
      <c r="D260" s="3" t="s">
        <v>14</v>
      </c>
      <c r="E260" s="2">
        <v>8.0</v>
      </c>
      <c r="F260" s="2" t="s">
        <v>42</v>
      </c>
      <c r="G260" s="2" t="s">
        <v>43</v>
      </c>
      <c r="H260" s="2">
        <v>4.0</v>
      </c>
      <c r="I260" s="2">
        <v>1.0</v>
      </c>
      <c r="J260" s="2" t="s">
        <v>22</v>
      </c>
      <c r="K260" s="2" t="s">
        <v>23</v>
      </c>
      <c r="L260" s="2">
        <v>2.0</v>
      </c>
      <c r="M260" s="2" t="s">
        <v>19</v>
      </c>
      <c r="N260" s="2">
        <v>2.0</v>
      </c>
    </row>
    <row r="261">
      <c r="A261" s="2">
        <v>260.0</v>
      </c>
      <c r="B261" s="3">
        <v>45364.0</v>
      </c>
      <c r="C261" s="3">
        <v>45376.0</v>
      </c>
      <c r="D261" s="3" t="s">
        <v>14</v>
      </c>
      <c r="E261" s="2">
        <v>12.0</v>
      </c>
      <c r="F261" s="2" t="s">
        <v>42</v>
      </c>
      <c r="G261" s="2" t="s">
        <v>43</v>
      </c>
      <c r="H261" s="2">
        <v>4.0</v>
      </c>
      <c r="I261" s="2">
        <v>4.0</v>
      </c>
      <c r="J261" s="2" t="s">
        <v>63</v>
      </c>
      <c r="K261" s="2" t="s">
        <v>34</v>
      </c>
      <c r="L261" s="2">
        <v>2.0</v>
      </c>
      <c r="M261" s="2" t="s">
        <v>19</v>
      </c>
      <c r="N261" s="2">
        <v>6.0</v>
      </c>
    </row>
    <row r="262">
      <c r="A262" s="2">
        <v>261.0</v>
      </c>
      <c r="B262" s="3">
        <v>45707.0</v>
      </c>
      <c r="C262" s="3">
        <v>45713.0</v>
      </c>
      <c r="D262" s="3" t="s">
        <v>14</v>
      </c>
      <c r="E262" s="2">
        <v>6.0</v>
      </c>
      <c r="F262" s="2" t="s">
        <v>25</v>
      </c>
      <c r="G262" s="2" t="s">
        <v>68</v>
      </c>
      <c r="H262" s="2">
        <v>4.0</v>
      </c>
      <c r="I262" s="2">
        <v>3.0</v>
      </c>
      <c r="J262" s="2" t="s">
        <v>40</v>
      </c>
      <c r="K262" s="2" t="s">
        <v>60</v>
      </c>
      <c r="L262" s="2">
        <v>2.0</v>
      </c>
      <c r="M262" s="2" t="s">
        <v>19</v>
      </c>
      <c r="N262" s="2">
        <v>6.0</v>
      </c>
    </row>
    <row r="263">
      <c r="A263" s="2">
        <v>262.0</v>
      </c>
      <c r="B263" s="3">
        <v>45372.0</v>
      </c>
      <c r="C263" s="3" t="s">
        <v>29</v>
      </c>
      <c r="D263" s="3" t="s">
        <v>30</v>
      </c>
      <c r="E263" s="2" t="s">
        <v>29</v>
      </c>
      <c r="F263" s="2" t="s">
        <v>42</v>
      </c>
      <c r="G263" s="2" t="s">
        <v>43</v>
      </c>
      <c r="H263" s="2">
        <v>1.0</v>
      </c>
      <c r="I263" s="2" t="s">
        <v>29</v>
      </c>
      <c r="J263" s="2" t="s">
        <v>58</v>
      </c>
      <c r="K263" s="2" t="s">
        <v>28</v>
      </c>
      <c r="L263" s="2">
        <v>1.0</v>
      </c>
      <c r="M263" s="2" t="s">
        <v>19</v>
      </c>
      <c r="N263" s="2">
        <v>4.0</v>
      </c>
    </row>
    <row r="264">
      <c r="A264" s="2">
        <v>263.0</v>
      </c>
      <c r="B264" s="3">
        <v>45621.0</v>
      </c>
      <c r="C264" s="3" t="s">
        <v>29</v>
      </c>
      <c r="D264" s="3" t="s">
        <v>52</v>
      </c>
      <c r="E264" s="2" t="s">
        <v>29</v>
      </c>
      <c r="F264" s="2" t="s">
        <v>15</v>
      </c>
      <c r="G264" s="2" t="s">
        <v>37</v>
      </c>
      <c r="H264" s="2">
        <v>3.0</v>
      </c>
      <c r="I264" s="2" t="s">
        <v>29</v>
      </c>
      <c r="J264" s="2" t="s">
        <v>22</v>
      </c>
      <c r="K264" s="2" t="s">
        <v>60</v>
      </c>
      <c r="L264" s="2">
        <v>3.0</v>
      </c>
      <c r="M264" s="2" t="s">
        <v>19</v>
      </c>
      <c r="N264" s="2">
        <v>6.0</v>
      </c>
    </row>
    <row r="265">
      <c r="A265" s="2">
        <v>264.0</v>
      </c>
      <c r="B265" s="3">
        <v>45448.0</v>
      </c>
      <c r="C265" s="3" t="s">
        <v>29</v>
      </c>
      <c r="D265" s="3" t="s">
        <v>52</v>
      </c>
      <c r="E265" s="2" t="s">
        <v>29</v>
      </c>
      <c r="F265" s="2" t="s">
        <v>20</v>
      </c>
      <c r="G265" s="2" t="s">
        <v>48</v>
      </c>
      <c r="H265" s="2">
        <v>2.0</v>
      </c>
      <c r="I265" s="2" t="s">
        <v>29</v>
      </c>
      <c r="J265" s="2" t="s">
        <v>22</v>
      </c>
      <c r="K265" s="2" t="s">
        <v>60</v>
      </c>
      <c r="L265" s="2">
        <v>2.0</v>
      </c>
      <c r="M265" s="2" t="s">
        <v>19</v>
      </c>
      <c r="N265" s="2">
        <v>3.0</v>
      </c>
    </row>
    <row r="266">
      <c r="A266" s="2">
        <v>265.0</v>
      </c>
      <c r="B266" s="3">
        <v>45312.0</v>
      </c>
      <c r="C266" s="3">
        <v>45316.0</v>
      </c>
      <c r="D266" s="3" t="s">
        <v>14</v>
      </c>
      <c r="E266" s="2">
        <v>4.0</v>
      </c>
      <c r="F266" s="2" t="s">
        <v>25</v>
      </c>
      <c r="G266" s="2" t="s">
        <v>68</v>
      </c>
      <c r="H266" s="2">
        <v>1.0</v>
      </c>
      <c r="I266" s="2">
        <v>1.0</v>
      </c>
      <c r="J266" s="2" t="s">
        <v>33</v>
      </c>
      <c r="K266" s="2" t="s">
        <v>23</v>
      </c>
      <c r="L266" s="2">
        <v>1.0</v>
      </c>
      <c r="M266" s="2" t="s">
        <v>24</v>
      </c>
      <c r="N266" s="2">
        <v>6.0</v>
      </c>
    </row>
    <row r="267">
      <c r="A267" s="2">
        <v>266.0</v>
      </c>
      <c r="B267" s="3">
        <v>45703.0</v>
      </c>
      <c r="C267" s="3">
        <v>45704.0</v>
      </c>
      <c r="D267" s="3" t="s">
        <v>14</v>
      </c>
      <c r="E267" s="2">
        <v>1.0</v>
      </c>
      <c r="F267" s="2" t="s">
        <v>45</v>
      </c>
      <c r="G267" s="2" t="s">
        <v>70</v>
      </c>
      <c r="H267" s="2">
        <v>1.0</v>
      </c>
      <c r="I267" s="2">
        <v>1.0</v>
      </c>
      <c r="J267" s="2" t="s">
        <v>27</v>
      </c>
      <c r="K267" s="2" t="s">
        <v>39</v>
      </c>
      <c r="L267" s="2">
        <v>6.0</v>
      </c>
      <c r="M267" s="2" t="s">
        <v>19</v>
      </c>
      <c r="N267" s="2">
        <v>1.0</v>
      </c>
    </row>
    <row r="268">
      <c r="A268" s="2">
        <v>267.0</v>
      </c>
      <c r="B268" s="3">
        <v>45393.0</v>
      </c>
      <c r="C268" s="3">
        <v>45404.0</v>
      </c>
      <c r="D268" s="3" t="s">
        <v>14</v>
      </c>
      <c r="E268" s="2">
        <v>11.0</v>
      </c>
      <c r="F268" s="2" t="s">
        <v>25</v>
      </c>
      <c r="G268" s="2" t="s">
        <v>59</v>
      </c>
      <c r="H268" s="2">
        <v>2.0</v>
      </c>
      <c r="I268" s="2">
        <v>2.0</v>
      </c>
      <c r="J268" s="2" t="s">
        <v>33</v>
      </c>
      <c r="K268" s="2" t="s">
        <v>23</v>
      </c>
      <c r="L268" s="2">
        <v>1.0</v>
      </c>
      <c r="M268" s="2" t="s">
        <v>24</v>
      </c>
      <c r="N268" s="2">
        <v>4.0</v>
      </c>
    </row>
    <row r="269">
      <c r="A269" s="2">
        <v>268.0</v>
      </c>
      <c r="B269" s="3">
        <v>45797.0</v>
      </c>
      <c r="C269" s="3" t="s">
        <v>29</v>
      </c>
      <c r="D269" s="3" t="s">
        <v>52</v>
      </c>
      <c r="E269" s="2" t="s">
        <v>29</v>
      </c>
      <c r="F269" s="2" t="s">
        <v>31</v>
      </c>
      <c r="G269" s="2" t="s">
        <v>35</v>
      </c>
      <c r="H269" s="2">
        <v>4.0</v>
      </c>
      <c r="I269" s="2" t="s">
        <v>29</v>
      </c>
      <c r="J269" s="2" t="s">
        <v>27</v>
      </c>
      <c r="K269" s="2" t="s">
        <v>23</v>
      </c>
      <c r="L269" s="2">
        <v>1.0</v>
      </c>
      <c r="M269" s="2" t="s">
        <v>19</v>
      </c>
      <c r="N269" s="2">
        <v>5.0</v>
      </c>
    </row>
    <row r="270">
      <c r="A270" s="2">
        <v>269.0</v>
      </c>
      <c r="B270" s="3">
        <v>45402.0</v>
      </c>
      <c r="C270" s="3">
        <v>45409.0</v>
      </c>
      <c r="D270" s="3" t="s">
        <v>14</v>
      </c>
      <c r="E270" s="2">
        <v>7.0</v>
      </c>
      <c r="F270" s="2" t="s">
        <v>25</v>
      </c>
      <c r="G270" s="2" t="s">
        <v>68</v>
      </c>
      <c r="H270" s="2">
        <v>3.0</v>
      </c>
      <c r="I270" s="2">
        <v>2.0</v>
      </c>
      <c r="J270" s="2" t="s">
        <v>17</v>
      </c>
      <c r="K270" s="2" t="s">
        <v>18</v>
      </c>
      <c r="L270" s="2">
        <v>6.0</v>
      </c>
      <c r="M270" s="2" t="s">
        <v>24</v>
      </c>
      <c r="N270" s="2">
        <v>1.0</v>
      </c>
    </row>
    <row r="271">
      <c r="A271" s="2">
        <v>270.0</v>
      </c>
      <c r="B271" s="3">
        <v>45747.0</v>
      </c>
      <c r="C271" s="3">
        <v>45752.0</v>
      </c>
      <c r="D271" s="3" t="s">
        <v>14</v>
      </c>
      <c r="E271" s="2">
        <v>5.0</v>
      </c>
      <c r="F271" s="2" t="s">
        <v>15</v>
      </c>
      <c r="G271" s="2" t="s">
        <v>16</v>
      </c>
      <c r="H271" s="2">
        <v>4.0</v>
      </c>
      <c r="I271" s="2">
        <v>4.0</v>
      </c>
      <c r="J271" s="2" t="s">
        <v>17</v>
      </c>
      <c r="K271" s="2" t="s">
        <v>23</v>
      </c>
      <c r="L271" s="2">
        <v>3.0</v>
      </c>
      <c r="M271" s="2" t="s">
        <v>24</v>
      </c>
      <c r="N271" s="2">
        <v>3.0</v>
      </c>
    </row>
    <row r="272">
      <c r="A272" s="2">
        <v>271.0</v>
      </c>
      <c r="B272" s="3">
        <v>45781.0</v>
      </c>
      <c r="C272" s="3">
        <v>45785.0</v>
      </c>
      <c r="D272" s="3" t="s">
        <v>14</v>
      </c>
      <c r="E272" s="2">
        <v>4.0</v>
      </c>
      <c r="F272" s="2" t="s">
        <v>42</v>
      </c>
      <c r="G272" s="2" t="s">
        <v>50</v>
      </c>
      <c r="H272" s="2">
        <v>4.0</v>
      </c>
      <c r="I272" s="2">
        <v>4.0</v>
      </c>
      <c r="J272" s="2" t="s">
        <v>66</v>
      </c>
      <c r="K272" s="2" t="s">
        <v>39</v>
      </c>
      <c r="L272" s="2">
        <v>5.0</v>
      </c>
      <c r="M272" s="2" t="s">
        <v>24</v>
      </c>
      <c r="N272" s="2">
        <v>4.0</v>
      </c>
    </row>
    <row r="273">
      <c r="A273" s="2">
        <v>272.0</v>
      </c>
      <c r="B273" s="3">
        <v>45557.0</v>
      </c>
      <c r="C273" s="3">
        <v>45560.0</v>
      </c>
      <c r="D273" s="3" t="s">
        <v>14</v>
      </c>
      <c r="E273" s="2">
        <v>3.0</v>
      </c>
      <c r="F273" s="2" t="s">
        <v>45</v>
      </c>
      <c r="G273" s="2" t="s">
        <v>56</v>
      </c>
      <c r="H273" s="2">
        <v>3.0</v>
      </c>
      <c r="I273" s="2">
        <v>1.0</v>
      </c>
      <c r="J273" s="2" t="s">
        <v>66</v>
      </c>
      <c r="K273" s="2" t="s">
        <v>34</v>
      </c>
      <c r="L273" s="2">
        <v>2.0</v>
      </c>
      <c r="M273" s="2" t="s">
        <v>19</v>
      </c>
      <c r="N273" s="2">
        <v>6.0</v>
      </c>
    </row>
    <row r="274">
      <c r="A274" s="2">
        <v>273.0</v>
      </c>
      <c r="B274" s="3">
        <v>45520.0</v>
      </c>
      <c r="C274" s="3" t="s">
        <v>29</v>
      </c>
      <c r="D274" s="3" t="s">
        <v>30</v>
      </c>
      <c r="E274" s="2" t="s">
        <v>29</v>
      </c>
      <c r="F274" s="2" t="s">
        <v>45</v>
      </c>
      <c r="G274" s="2" t="s">
        <v>56</v>
      </c>
      <c r="H274" s="2">
        <v>2.0</v>
      </c>
      <c r="I274" s="2" t="s">
        <v>29</v>
      </c>
      <c r="J274" s="2" t="s">
        <v>47</v>
      </c>
      <c r="K274" s="2" t="s">
        <v>18</v>
      </c>
      <c r="L274" s="2">
        <v>6.0</v>
      </c>
      <c r="M274" s="2" t="s">
        <v>24</v>
      </c>
      <c r="N274" s="2">
        <v>6.0</v>
      </c>
    </row>
    <row r="275">
      <c r="A275" s="2">
        <v>274.0</v>
      </c>
      <c r="B275" s="3">
        <v>45807.0</v>
      </c>
      <c r="C275" s="3">
        <v>45817.0</v>
      </c>
      <c r="D275" s="3" t="s">
        <v>14</v>
      </c>
      <c r="E275" s="2">
        <v>10.0</v>
      </c>
      <c r="F275" s="2" t="s">
        <v>42</v>
      </c>
      <c r="G275" s="2" t="s">
        <v>53</v>
      </c>
      <c r="H275" s="2">
        <v>2.0</v>
      </c>
      <c r="I275" s="2">
        <v>1.0</v>
      </c>
      <c r="J275" s="2" t="s">
        <v>33</v>
      </c>
      <c r="K275" s="2" t="s">
        <v>28</v>
      </c>
      <c r="L275" s="2">
        <v>1.0</v>
      </c>
      <c r="M275" s="2" t="s">
        <v>19</v>
      </c>
      <c r="N275" s="2">
        <v>3.0</v>
      </c>
    </row>
    <row r="276">
      <c r="A276" s="2">
        <v>275.0</v>
      </c>
      <c r="B276" s="3">
        <v>45441.0</v>
      </c>
      <c r="C276" s="3">
        <v>45468.0</v>
      </c>
      <c r="D276" s="3" t="s">
        <v>14</v>
      </c>
      <c r="E276" s="2">
        <v>27.0</v>
      </c>
      <c r="F276" s="2" t="s">
        <v>15</v>
      </c>
      <c r="G276" s="2" t="s">
        <v>16</v>
      </c>
      <c r="H276" s="2">
        <v>1.0</v>
      </c>
      <c r="I276" s="2">
        <v>1.0</v>
      </c>
      <c r="J276" s="2" t="s">
        <v>36</v>
      </c>
      <c r="K276" s="2" t="s">
        <v>34</v>
      </c>
      <c r="L276" s="2">
        <v>4.0</v>
      </c>
      <c r="M276" s="2" t="s">
        <v>19</v>
      </c>
      <c r="N276" s="2">
        <v>6.0</v>
      </c>
    </row>
    <row r="277">
      <c r="A277" s="2">
        <v>276.0</v>
      </c>
      <c r="B277" s="3">
        <v>45659.0</v>
      </c>
      <c r="C277" s="3">
        <v>45670.0</v>
      </c>
      <c r="D277" s="3" t="s">
        <v>14</v>
      </c>
      <c r="E277" s="2">
        <v>11.0</v>
      </c>
      <c r="F277" s="2" t="s">
        <v>42</v>
      </c>
      <c r="G277" s="2" t="s">
        <v>65</v>
      </c>
      <c r="H277" s="2">
        <v>3.0</v>
      </c>
      <c r="I277" s="2">
        <v>1.0</v>
      </c>
      <c r="J277" s="2" t="s">
        <v>67</v>
      </c>
      <c r="K277" s="2" t="s">
        <v>28</v>
      </c>
      <c r="L277" s="2">
        <v>1.0</v>
      </c>
      <c r="M277" s="2" t="s">
        <v>19</v>
      </c>
      <c r="N277" s="2">
        <v>2.0</v>
      </c>
    </row>
    <row r="278">
      <c r="A278" s="2">
        <v>277.0</v>
      </c>
      <c r="B278" s="3">
        <v>45437.0</v>
      </c>
      <c r="C278" s="3">
        <v>45443.0</v>
      </c>
      <c r="D278" s="3" t="s">
        <v>14</v>
      </c>
      <c r="E278" s="2">
        <v>6.0</v>
      </c>
      <c r="F278" s="2" t="s">
        <v>15</v>
      </c>
      <c r="G278" s="2" t="s">
        <v>37</v>
      </c>
      <c r="H278" s="2">
        <v>2.0</v>
      </c>
      <c r="I278" s="2">
        <v>1.0</v>
      </c>
      <c r="J278" s="2" t="s">
        <v>66</v>
      </c>
      <c r="K278" s="2" t="s">
        <v>28</v>
      </c>
      <c r="L278" s="2">
        <v>6.0</v>
      </c>
      <c r="M278" s="2" t="s">
        <v>24</v>
      </c>
      <c r="N278" s="2">
        <v>6.0</v>
      </c>
    </row>
    <row r="279">
      <c r="A279" s="2">
        <v>278.0</v>
      </c>
      <c r="B279" s="3">
        <v>45503.0</v>
      </c>
      <c r="C279" s="3">
        <v>45543.0</v>
      </c>
      <c r="D279" s="3" t="s">
        <v>14</v>
      </c>
      <c r="E279" s="2">
        <v>40.0</v>
      </c>
      <c r="F279" s="2" t="s">
        <v>42</v>
      </c>
      <c r="G279" s="2" t="s">
        <v>50</v>
      </c>
      <c r="H279" s="2">
        <v>3.0</v>
      </c>
      <c r="I279" s="2">
        <v>1.0</v>
      </c>
      <c r="J279" s="2" t="s">
        <v>33</v>
      </c>
      <c r="K279" s="2" t="s">
        <v>18</v>
      </c>
      <c r="L279" s="2">
        <v>4.0</v>
      </c>
      <c r="M279" s="2" t="s">
        <v>24</v>
      </c>
      <c r="N279" s="2">
        <v>6.0</v>
      </c>
    </row>
    <row r="280">
      <c r="A280" s="2">
        <v>279.0</v>
      </c>
      <c r="B280" s="3">
        <v>45592.0</v>
      </c>
      <c r="C280" s="3" t="s">
        <v>29</v>
      </c>
      <c r="D280" s="3" t="s">
        <v>52</v>
      </c>
      <c r="E280" s="2" t="s">
        <v>29</v>
      </c>
      <c r="F280" s="2" t="s">
        <v>15</v>
      </c>
      <c r="G280" s="2" t="s">
        <v>37</v>
      </c>
      <c r="H280" s="2">
        <v>2.0</v>
      </c>
      <c r="I280" s="2" t="s">
        <v>29</v>
      </c>
      <c r="J280" s="2" t="s">
        <v>55</v>
      </c>
      <c r="K280" s="2" t="s">
        <v>39</v>
      </c>
      <c r="L280" s="2">
        <v>4.0</v>
      </c>
      <c r="M280" s="2" t="s">
        <v>19</v>
      </c>
      <c r="N280" s="2">
        <v>2.0</v>
      </c>
    </row>
    <row r="281">
      <c r="A281" s="2">
        <v>280.0</v>
      </c>
      <c r="B281" s="3">
        <v>45646.0</v>
      </c>
      <c r="C281" s="3" t="s">
        <v>29</v>
      </c>
      <c r="D281" s="3" t="s">
        <v>52</v>
      </c>
      <c r="E281" s="2" t="s">
        <v>29</v>
      </c>
      <c r="F281" s="2" t="s">
        <v>42</v>
      </c>
      <c r="G281" s="2" t="s">
        <v>50</v>
      </c>
      <c r="H281" s="2">
        <v>1.0</v>
      </c>
      <c r="I281" s="2" t="s">
        <v>29</v>
      </c>
      <c r="J281" s="2" t="s">
        <v>17</v>
      </c>
      <c r="K281" s="2" t="s">
        <v>39</v>
      </c>
      <c r="L281" s="2">
        <v>6.0</v>
      </c>
      <c r="M281" s="2" t="s">
        <v>19</v>
      </c>
      <c r="N281" s="2">
        <v>2.0</v>
      </c>
    </row>
    <row r="282">
      <c r="A282" s="2">
        <v>281.0</v>
      </c>
      <c r="B282" s="3">
        <v>45712.0</v>
      </c>
      <c r="C282" s="3">
        <v>45724.0</v>
      </c>
      <c r="D282" s="3" t="s">
        <v>14</v>
      </c>
      <c r="E282" s="2">
        <v>12.0</v>
      </c>
      <c r="F282" s="2" t="s">
        <v>20</v>
      </c>
      <c r="G282" s="2" t="s">
        <v>41</v>
      </c>
      <c r="H282" s="2">
        <v>3.0</v>
      </c>
      <c r="I282" s="2">
        <v>1.0</v>
      </c>
      <c r="J282" s="2" t="s">
        <v>38</v>
      </c>
      <c r="K282" s="2" t="s">
        <v>28</v>
      </c>
      <c r="L282" s="2">
        <v>2.0</v>
      </c>
      <c r="M282" s="2" t="s">
        <v>19</v>
      </c>
      <c r="N282" s="2">
        <v>4.0</v>
      </c>
    </row>
    <row r="283">
      <c r="A283" s="2">
        <v>282.0</v>
      </c>
      <c r="B283" s="3">
        <v>45774.0</v>
      </c>
      <c r="C283" s="3">
        <v>45777.0</v>
      </c>
      <c r="D283" s="3" t="s">
        <v>14</v>
      </c>
      <c r="E283" s="2">
        <v>3.0</v>
      </c>
      <c r="F283" s="2" t="s">
        <v>20</v>
      </c>
      <c r="G283" s="2" t="s">
        <v>48</v>
      </c>
      <c r="H283" s="2">
        <v>1.0</v>
      </c>
      <c r="I283" s="2">
        <v>1.0</v>
      </c>
      <c r="J283" s="2" t="s">
        <v>40</v>
      </c>
      <c r="K283" s="2" t="s">
        <v>28</v>
      </c>
      <c r="L283" s="2">
        <v>1.0</v>
      </c>
      <c r="M283" s="2" t="s">
        <v>19</v>
      </c>
      <c r="N283" s="2">
        <v>2.0</v>
      </c>
    </row>
    <row r="284">
      <c r="A284" s="2">
        <v>283.0</v>
      </c>
      <c r="B284" s="3">
        <v>45477.0</v>
      </c>
      <c r="C284" s="3">
        <v>45482.0</v>
      </c>
      <c r="D284" s="3" t="s">
        <v>14</v>
      </c>
      <c r="E284" s="2">
        <v>5.0</v>
      </c>
      <c r="F284" s="2" t="s">
        <v>15</v>
      </c>
      <c r="G284" s="2" t="s">
        <v>37</v>
      </c>
      <c r="H284" s="2">
        <v>2.0</v>
      </c>
      <c r="I284" s="2">
        <v>1.0</v>
      </c>
      <c r="J284" s="2" t="s">
        <v>44</v>
      </c>
      <c r="K284" s="2" t="s">
        <v>39</v>
      </c>
      <c r="L284" s="2">
        <v>3.0</v>
      </c>
      <c r="M284" s="2" t="s">
        <v>24</v>
      </c>
      <c r="N284" s="2">
        <v>2.0</v>
      </c>
    </row>
    <row r="285">
      <c r="A285" s="2">
        <v>284.0</v>
      </c>
      <c r="B285" s="3">
        <v>45702.0</v>
      </c>
      <c r="C285" s="3" t="s">
        <v>29</v>
      </c>
      <c r="D285" s="3" t="s">
        <v>52</v>
      </c>
      <c r="E285" s="2" t="s">
        <v>29</v>
      </c>
      <c r="F285" s="2" t="s">
        <v>31</v>
      </c>
      <c r="G285" s="2" t="s">
        <v>69</v>
      </c>
      <c r="H285" s="2">
        <v>1.0</v>
      </c>
      <c r="I285" s="2" t="s">
        <v>29</v>
      </c>
      <c r="J285" s="2" t="s">
        <v>66</v>
      </c>
      <c r="K285" s="2" t="s">
        <v>23</v>
      </c>
      <c r="L285" s="2">
        <v>4.0</v>
      </c>
      <c r="M285" s="2" t="s">
        <v>24</v>
      </c>
      <c r="N285" s="2">
        <v>6.0</v>
      </c>
    </row>
    <row r="286">
      <c r="A286" s="2">
        <v>285.0</v>
      </c>
      <c r="B286" s="3">
        <v>45682.0</v>
      </c>
      <c r="C286" s="3">
        <v>45713.0</v>
      </c>
      <c r="D286" s="3" t="s">
        <v>14</v>
      </c>
      <c r="E286" s="2">
        <v>31.0</v>
      </c>
      <c r="F286" s="2" t="s">
        <v>15</v>
      </c>
      <c r="G286" s="2" t="s">
        <v>37</v>
      </c>
      <c r="H286" s="2">
        <v>4.0</v>
      </c>
      <c r="I286" s="2">
        <v>4.0</v>
      </c>
      <c r="J286" s="2" t="s">
        <v>17</v>
      </c>
      <c r="K286" s="2" t="s">
        <v>23</v>
      </c>
      <c r="L286" s="2">
        <v>5.0</v>
      </c>
      <c r="M286" s="2" t="s">
        <v>19</v>
      </c>
      <c r="N286" s="2">
        <v>4.0</v>
      </c>
    </row>
    <row r="287">
      <c r="A287" s="2">
        <v>286.0</v>
      </c>
      <c r="B287" s="3">
        <v>45476.0</v>
      </c>
      <c r="C287" s="3" t="s">
        <v>29</v>
      </c>
      <c r="D287" s="3" t="s">
        <v>52</v>
      </c>
      <c r="E287" s="2" t="s">
        <v>29</v>
      </c>
      <c r="F287" s="2" t="s">
        <v>31</v>
      </c>
      <c r="G287" s="2" t="s">
        <v>35</v>
      </c>
      <c r="H287" s="2">
        <v>2.0</v>
      </c>
      <c r="I287" s="2" t="s">
        <v>29</v>
      </c>
      <c r="J287" s="2" t="s">
        <v>36</v>
      </c>
      <c r="K287" s="2" t="s">
        <v>60</v>
      </c>
      <c r="L287" s="2">
        <v>4.0</v>
      </c>
      <c r="M287" s="2" t="s">
        <v>24</v>
      </c>
      <c r="N287" s="2">
        <v>6.0</v>
      </c>
    </row>
    <row r="288">
      <c r="A288" s="2">
        <v>287.0</v>
      </c>
      <c r="B288" s="3">
        <v>45320.0</v>
      </c>
      <c r="C288" s="3">
        <v>45333.0</v>
      </c>
      <c r="D288" s="3" t="s">
        <v>14</v>
      </c>
      <c r="E288" s="2">
        <v>13.0</v>
      </c>
      <c r="F288" s="2" t="s">
        <v>25</v>
      </c>
      <c r="G288" s="2" t="s">
        <v>68</v>
      </c>
      <c r="H288" s="2">
        <v>3.0</v>
      </c>
      <c r="I288" s="2">
        <v>1.0</v>
      </c>
      <c r="J288" s="2" t="s">
        <v>22</v>
      </c>
      <c r="K288" s="2" t="s">
        <v>39</v>
      </c>
      <c r="L288" s="2">
        <v>6.0</v>
      </c>
      <c r="M288" s="2" t="s">
        <v>24</v>
      </c>
      <c r="N288" s="2">
        <v>1.0</v>
      </c>
    </row>
    <row r="289">
      <c r="A289" s="2">
        <v>288.0</v>
      </c>
      <c r="B289" s="3">
        <v>45585.0</v>
      </c>
      <c r="C289" s="3">
        <v>45618.0</v>
      </c>
      <c r="D289" s="3" t="s">
        <v>14</v>
      </c>
      <c r="E289" s="2">
        <v>33.0</v>
      </c>
      <c r="F289" s="2" t="s">
        <v>25</v>
      </c>
      <c r="G289" s="2" t="s">
        <v>59</v>
      </c>
      <c r="H289" s="2">
        <v>2.0</v>
      </c>
      <c r="I289" s="2">
        <v>2.0</v>
      </c>
      <c r="J289" s="2" t="s">
        <v>49</v>
      </c>
      <c r="K289" s="2" t="s">
        <v>28</v>
      </c>
      <c r="L289" s="2">
        <v>1.0</v>
      </c>
      <c r="M289" s="2" t="s">
        <v>19</v>
      </c>
      <c r="N289" s="2">
        <v>5.0</v>
      </c>
    </row>
    <row r="290">
      <c r="A290" s="2">
        <v>289.0</v>
      </c>
      <c r="B290" s="3">
        <v>45336.0</v>
      </c>
      <c r="C290" s="3">
        <v>45372.0</v>
      </c>
      <c r="D290" s="3" t="s">
        <v>14</v>
      </c>
      <c r="E290" s="2">
        <v>36.0</v>
      </c>
      <c r="F290" s="2" t="s">
        <v>42</v>
      </c>
      <c r="G290" s="2" t="s">
        <v>50</v>
      </c>
      <c r="H290" s="2">
        <v>2.0</v>
      </c>
      <c r="I290" s="2">
        <v>1.0</v>
      </c>
      <c r="J290" s="2" t="s">
        <v>40</v>
      </c>
      <c r="K290" s="2" t="s">
        <v>39</v>
      </c>
      <c r="L290" s="2">
        <v>6.0</v>
      </c>
      <c r="M290" s="2" t="s">
        <v>24</v>
      </c>
      <c r="N290" s="2">
        <v>6.0</v>
      </c>
    </row>
    <row r="291">
      <c r="A291" s="2">
        <v>290.0</v>
      </c>
      <c r="B291" s="3">
        <v>45673.0</v>
      </c>
      <c r="C291" s="3">
        <v>45679.0</v>
      </c>
      <c r="D291" s="3" t="s">
        <v>14</v>
      </c>
      <c r="E291" s="2">
        <v>6.0</v>
      </c>
      <c r="F291" s="2" t="s">
        <v>15</v>
      </c>
      <c r="G291" s="2" t="s">
        <v>16</v>
      </c>
      <c r="H291" s="2">
        <v>2.0</v>
      </c>
      <c r="I291" s="2">
        <v>1.0</v>
      </c>
      <c r="J291" s="2" t="s">
        <v>49</v>
      </c>
      <c r="K291" s="2" t="s">
        <v>60</v>
      </c>
      <c r="L291" s="2">
        <v>3.0</v>
      </c>
      <c r="M291" s="2" t="s">
        <v>24</v>
      </c>
      <c r="N291" s="2">
        <v>5.0</v>
      </c>
    </row>
    <row r="292">
      <c r="A292" s="2">
        <v>291.0</v>
      </c>
      <c r="B292" s="3">
        <v>45484.0</v>
      </c>
      <c r="C292" s="3">
        <v>45520.0</v>
      </c>
      <c r="D292" s="3" t="s">
        <v>14</v>
      </c>
      <c r="E292" s="2">
        <v>36.0</v>
      </c>
      <c r="F292" s="2" t="s">
        <v>25</v>
      </c>
      <c r="G292" s="2" t="s">
        <v>68</v>
      </c>
      <c r="H292" s="2">
        <v>3.0</v>
      </c>
      <c r="I292" s="2">
        <v>2.0</v>
      </c>
      <c r="J292" s="2" t="s">
        <v>27</v>
      </c>
      <c r="K292" s="2" t="s">
        <v>18</v>
      </c>
      <c r="L292" s="2">
        <v>3.0</v>
      </c>
      <c r="M292" s="2" t="s">
        <v>24</v>
      </c>
      <c r="N292" s="2">
        <v>4.0</v>
      </c>
    </row>
    <row r="293">
      <c r="A293" s="2">
        <v>292.0</v>
      </c>
      <c r="B293" s="3">
        <v>45581.0</v>
      </c>
      <c r="C293" s="3">
        <v>45594.0</v>
      </c>
      <c r="D293" s="3" t="s">
        <v>14</v>
      </c>
      <c r="E293" s="2">
        <v>13.0</v>
      </c>
      <c r="F293" s="2" t="s">
        <v>25</v>
      </c>
      <c r="G293" s="2" t="s">
        <v>68</v>
      </c>
      <c r="H293" s="2">
        <v>2.0</v>
      </c>
      <c r="I293" s="2">
        <v>2.0</v>
      </c>
      <c r="J293" s="2" t="s">
        <v>55</v>
      </c>
      <c r="K293" s="2" t="s">
        <v>60</v>
      </c>
      <c r="L293" s="2">
        <v>6.0</v>
      </c>
      <c r="M293" s="2" t="s">
        <v>19</v>
      </c>
      <c r="N293" s="2">
        <v>5.0</v>
      </c>
    </row>
    <row r="294">
      <c r="A294" s="2">
        <v>293.0</v>
      </c>
      <c r="B294" s="3">
        <v>45827.0</v>
      </c>
      <c r="C294" s="3" t="s">
        <v>29</v>
      </c>
      <c r="D294" s="3" t="s">
        <v>52</v>
      </c>
      <c r="E294" s="2" t="s">
        <v>29</v>
      </c>
      <c r="F294" s="2" t="s">
        <v>42</v>
      </c>
      <c r="G294" s="2" t="s">
        <v>43</v>
      </c>
      <c r="H294" s="2">
        <v>2.0</v>
      </c>
      <c r="I294" s="2" t="s">
        <v>29</v>
      </c>
      <c r="J294" s="2" t="s">
        <v>44</v>
      </c>
      <c r="K294" s="2" t="s">
        <v>28</v>
      </c>
      <c r="L294" s="2">
        <v>5.0</v>
      </c>
      <c r="M294" s="2" t="s">
        <v>24</v>
      </c>
      <c r="N294" s="2">
        <v>6.0</v>
      </c>
    </row>
    <row r="295">
      <c r="A295" s="2">
        <v>294.0</v>
      </c>
      <c r="B295" s="3">
        <v>45690.0</v>
      </c>
      <c r="C295" s="3">
        <v>45696.0</v>
      </c>
      <c r="D295" s="3" t="s">
        <v>14</v>
      </c>
      <c r="E295" s="2">
        <v>6.0</v>
      </c>
      <c r="F295" s="2" t="s">
        <v>45</v>
      </c>
      <c r="G295" s="2" t="s">
        <v>46</v>
      </c>
      <c r="H295" s="2">
        <v>1.0</v>
      </c>
      <c r="I295" s="2">
        <v>1.0</v>
      </c>
      <c r="J295" s="2" t="s">
        <v>40</v>
      </c>
      <c r="K295" s="2" t="s">
        <v>18</v>
      </c>
      <c r="L295" s="2">
        <v>4.0</v>
      </c>
      <c r="M295" s="2" t="s">
        <v>24</v>
      </c>
      <c r="N295" s="2">
        <v>5.0</v>
      </c>
    </row>
    <row r="296">
      <c r="A296" s="2">
        <v>295.0</v>
      </c>
      <c r="B296" s="3">
        <v>45363.0</v>
      </c>
      <c r="C296" s="3">
        <v>45367.0</v>
      </c>
      <c r="D296" s="3" t="s">
        <v>14</v>
      </c>
      <c r="E296" s="2">
        <v>4.0</v>
      </c>
      <c r="F296" s="2" t="s">
        <v>42</v>
      </c>
      <c r="G296" s="2" t="s">
        <v>53</v>
      </c>
      <c r="H296" s="2">
        <v>4.0</v>
      </c>
      <c r="I296" s="2">
        <v>1.0</v>
      </c>
      <c r="J296" s="2" t="s">
        <v>64</v>
      </c>
      <c r="K296" s="2" t="s">
        <v>28</v>
      </c>
      <c r="L296" s="2">
        <v>1.0</v>
      </c>
      <c r="M296" s="2" t="s">
        <v>24</v>
      </c>
      <c r="N296" s="2">
        <v>4.0</v>
      </c>
    </row>
    <row r="297">
      <c r="A297" s="2">
        <v>296.0</v>
      </c>
      <c r="B297" s="3">
        <v>45461.0</v>
      </c>
      <c r="C297" s="3">
        <v>45471.0</v>
      </c>
      <c r="D297" s="3" t="s">
        <v>14</v>
      </c>
      <c r="E297" s="2">
        <v>10.0</v>
      </c>
      <c r="F297" s="2" t="s">
        <v>15</v>
      </c>
      <c r="G297" s="2" t="s">
        <v>37</v>
      </c>
      <c r="H297" s="2">
        <v>2.0</v>
      </c>
      <c r="I297" s="2">
        <v>2.0</v>
      </c>
      <c r="J297" s="2" t="s">
        <v>67</v>
      </c>
      <c r="K297" s="2" t="s">
        <v>34</v>
      </c>
      <c r="L297" s="2">
        <v>4.0</v>
      </c>
      <c r="M297" s="2" t="s">
        <v>19</v>
      </c>
      <c r="N297" s="2">
        <v>5.0</v>
      </c>
    </row>
    <row r="298">
      <c r="A298" s="2">
        <v>297.0</v>
      </c>
      <c r="B298" s="3">
        <v>45383.0</v>
      </c>
      <c r="C298" s="3">
        <v>45390.0</v>
      </c>
      <c r="D298" s="3" t="s">
        <v>14</v>
      </c>
      <c r="E298" s="2">
        <v>7.0</v>
      </c>
      <c r="F298" s="2" t="s">
        <v>25</v>
      </c>
      <c r="G298" s="2" t="s">
        <v>26</v>
      </c>
      <c r="H298" s="2">
        <v>2.0</v>
      </c>
      <c r="I298" s="2">
        <v>1.0</v>
      </c>
      <c r="J298" s="2" t="s">
        <v>22</v>
      </c>
      <c r="K298" s="2" t="s">
        <v>18</v>
      </c>
      <c r="L298" s="2">
        <v>4.0</v>
      </c>
      <c r="M298" s="2" t="s">
        <v>19</v>
      </c>
      <c r="N298" s="2">
        <v>6.0</v>
      </c>
    </row>
    <row r="299">
      <c r="A299" s="2">
        <v>298.0</v>
      </c>
      <c r="B299" s="3">
        <v>45341.0</v>
      </c>
      <c r="C299" s="3">
        <v>45360.0</v>
      </c>
      <c r="D299" s="3" t="s">
        <v>14</v>
      </c>
      <c r="E299" s="2">
        <v>19.0</v>
      </c>
      <c r="F299" s="2" t="s">
        <v>25</v>
      </c>
      <c r="G299" s="2" t="s">
        <v>26</v>
      </c>
      <c r="H299" s="2">
        <v>1.0</v>
      </c>
      <c r="I299" s="2">
        <v>1.0</v>
      </c>
      <c r="J299" s="2" t="s">
        <v>55</v>
      </c>
      <c r="K299" s="2" t="s">
        <v>23</v>
      </c>
      <c r="L299" s="2">
        <v>1.0</v>
      </c>
      <c r="M299" s="2" t="s">
        <v>19</v>
      </c>
      <c r="N299" s="2">
        <v>2.0</v>
      </c>
    </row>
    <row r="300">
      <c r="A300" s="2">
        <v>299.0</v>
      </c>
      <c r="B300" s="3">
        <v>45769.0</v>
      </c>
      <c r="C300" s="3" t="s">
        <v>29</v>
      </c>
      <c r="D300" s="3" t="s">
        <v>52</v>
      </c>
      <c r="E300" s="2" t="s">
        <v>29</v>
      </c>
      <c r="F300" s="2" t="s">
        <v>42</v>
      </c>
      <c r="G300" s="2" t="s">
        <v>65</v>
      </c>
      <c r="H300" s="2">
        <v>2.0</v>
      </c>
      <c r="I300" s="2" t="s">
        <v>29</v>
      </c>
      <c r="J300" s="2" t="s">
        <v>38</v>
      </c>
      <c r="K300" s="2" t="s">
        <v>60</v>
      </c>
      <c r="L300" s="2">
        <v>2.0</v>
      </c>
      <c r="M300" s="2" t="s">
        <v>19</v>
      </c>
      <c r="N300" s="2">
        <v>1.0</v>
      </c>
    </row>
    <row r="301">
      <c r="A301" s="2">
        <v>300.0</v>
      </c>
      <c r="B301" s="3">
        <v>45709.0</v>
      </c>
      <c r="C301" s="3">
        <v>45722.0</v>
      </c>
      <c r="D301" s="3" t="s">
        <v>14</v>
      </c>
      <c r="E301" s="2">
        <v>13.0</v>
      </c>
      <c r="F301" s="2" t="s">
        <v>25</v>
      </c>
      <c r="G301" s="2" t="s">
        <v>59</v>
      </c>
      <c r="H301" s="2">
        <v>2.0</v>
      </c>
      <c r="I301" s="2">
        <v>2.0</v>
      </c>
      <c r="J301" s="2" t="s">
        <v>40</v>
      </c>
      <c r="K301" s="2" t="s">
        <v>34</v>
      </c>
      <c r="L301" s="2">
        <v>4.0</v>
      </c>
      <c r="M301" s="2" t="s">
        <v>19</v>
      </c>
      <c r="N301" s="2">
        <v>6.0</v>
      </c>
    </row>
    <row r="302">
      <c r="A302" s="2">
        <v>301.0</v>
      </c>
      <c r="B302" s="3">
        <v>45452.0</v>
      </c>
      <c r="C302" s="3">
        <v>45461.0</v>
      </c>
      <c r="D302" s="3" t="s">
        <v>14</v>
      </c>
      <c r="E302" s="2">
        <v>9.0</v>
      </c>
      <c r="F302" s="2" t="s">
        <v>25</v>
      </c>
      <c r="G302" s="2" t="s">
        <v>68</v>
      </c>
      <c r="H302" s="2">
        <v>3.0</v>
      </c>
      <c r="I302" s="2">
        <v>3.0</v>
      </c>
      <c r="J302" s="2" t="s">
        <v>27</v>
      </c>
      <c r="K302" s="2" t="s">
        <v>34</v>
      </c>
      <c r="L302" s="2">
        <v>3.0</v>
      </c>
      <c r="M302" s="2" t="s">
        <v>19</v>
      </c>
      <c r="N302" s="2">
        <v>4.0</v>
      </c>
    </row>
    <row r="303">
      <c r="A303" s="2">
        <v>302.0</v>
      </c>
      <c r="B303" s="3">
        <v>45463.0</v>
      </c>
      <c r="C303" s="3">
        <v>45490.0</v>
      </c>
      <c r="D303" s="3" t="s">
        <v>14</v>
      </c>
      <c r="E303" s="2">
        <v>27.0</v>
      </c>
      <c r="F303" s="2" t="s">
        <v>42</v>
      </c>
      <c r="G303" s="2" t="s">
        <v>43</v>
      </c>
      <c r="H303" s="2">
        <v>4.0</v>
      </c>
      <c r="I303" s="2">
        <v>1.0</v>
      </c>
      <c r="J303" s="2" t="s">
        <v>22</v>
      </c>
      <c r="K303" s="2" t="s">
        <v>39</v>
      </c>
      <c r="L303" s="2">
        <v>4.0</v>
      </c>
      <c r="M303" s="2" t="s">
        <v>24</v>
      </c>
      <c r="N303" s="2">
        <v>6.0</v>
      </c>
    </row>
    <row r="304">
      <c r="A304" s="2">
        <v>303.0</v>
      </c>
      <c r="B304" s="3">
        <v>45328.0</v>
      </c>
      <c r="C304" s="3">
        <v>45337.0</v>
      </c>
      <c r="D304" s="3" t="s">
        <v>14</v>
      </c>
      <c r="E304" s="2">
        <v>9.0</v>
      </c>
      <c r="F304" s="2" t="s">
        <v>15</v>
      </c>
      <c r="G304" s="2" t="s">
        <v>37</v>
      </c>
      <c r="H304" s="2">
        <v>3.0</v>
      </c>
      <c r="I304" s="2">
        <v>2.0</v>
      </c>
      <c r="J304" s="2" t="s">
        <v>33</v>
      </c>
      <c r="K304" s="2" t="s">
        <v>18</v>
      </c>
      <c r="L304" s="2">
        <v>6.0</v>
      </c>
      <c r="M304" s="2" t="s">
        <v>19</v>
      </c>
      <c r="N304" s="2">
        <v>2.0</v>
      </c>
    </row>
    <row r="305">
      <c r="A305" s="2">
        <v>304.0</v>
      </c>
      <c r="B305" s="3">
        <v>45373.0</v>
      </c>
      <c r="C305" s="3">
        <v>45387.0</v>
      </c>
      <c r="D305" s="3" t="s">
        <v>14</v>
      </c>
      <c r="E305" s="2">
        <v>14.0</v>
      </c>
      <c r="F305" s="2" t="s">
        <v>42</v>
      </c>
      <c r="G305" s="2" t="s">
        <v>50</v>
      </c>
      <c r="H305" s="2">
        <v>3.0</v>
      </c>
      <c r="I305" s="2">
        <v>3.0</v>
      </c>
      <c r="J305" s="2" t="s">
        <v>22</v>
      </c>
      <c r="K305" s="2" t="s">
        <v>34</v>
      </c>
      <c r="L305" s="2">
        <v>1.0</v>
      </c>
      <c r="M305" s="2" t="s">
        <v>19</v>
      </c>
      <c r="N305" s="2">
        <v>6.0</v>
      </c>
    </row>
    <row r="306">
      <c r="A306" s="2">
        <v>305.0</v>
      </c>
      <c r="B306" s="3">
        <v>45579.0</v>
      </c>
      <c r="C306" s="3" t="s">
        <v>29</v>
      </c>
      <c r="D306" s="3" t="s">
        <v>52</v>
      </c>
      <c r="E306" s="2" t="s">
        <v>29</v>
      </c>
      <c r="F306" s="2" t="s">
        <v>25</v>
      </c>
      <c r="G306" s="2" t="s">
        <v>61</v>
      </c>
      <c r="H306" s="2">
        <v>3.0</v>
      </c>
      <c r="I306" s="2" t="s">
        <v>29</v>
      </c>
      <c r="J306" s="2" t="s">
        <v>55</v>
      </c>
      <c r="K306" s="2" t="s">
        <v>60</v>
      </c>
      <c r="L306" s="2">
        <v>3.0</v>
      </c>
      <c r="M306" s="2" t="s">
        <v>24</v>
      </c>
      <c r="N306" s="2">
        <v>1.0</v>
      </c>
    </row>
    <row r="307">
      <c r="A307" s="2">
        <v>306.0</v>
      </c>
      <c r="B307" s="3">
        <v>45807.0</v>
      </c>
      <c r="C307" s="3">
        <v>45842.0</v>
      </c>
      <c r="D307" s="3" t="s">
        <v>14</v>
      </c>
      <c r="E307" s="2">
        <v>35.0</v>
      </c>
      <c r="F307" s="2" t="s">
        <v>25</v>
      </c>
      <c r="G307" s="2" t="s">
        <v>68</v>
      </c>
      <c r="H307" s="2">
        <v>4.0</v>
      </c>
      <c r="I307" s="2">
        <v>2.0</v>
      </c>
      <c r="J307" s="2" t="s">
        <v>64</v>
      </c>
      <c r="K307" s="2" t="s">
        <v>60</v>
      </c>
      <c r="L307" s="2">
        <v>4.0</v>
      </c>
      <c r="M307" s="2" t="s">
        <v>19</v>
      </c>
      <c r="N307" s="2">
        <v>5.0</v>
      </c>
    </row>
    <row r="308">
      <c r="A308" s="2">
        <v>307.0</v>
      </c>
      <c r="B308" s="3">
        <v>45473.0</v>
      </c>
      <c r="C308" s="3" t="s">
        <v>29</v>
      </c>
      <c r="D308" s="3" t="s">
        <v>30</v>
      </c>
      <c r="E308" s="2" t="s">
        <v>29</v>
      </c>
      <c r="F308" s="2" t="s">
        <v>25</v>
      </c>
      <c r="G308" s="2" t="s">
        <v>59</v>
      </c>
      <c r="H308" s="2">
        <v>2.0</v>
      </c>
      <c r="I308" s="2" t="s">
        <v>29</v>
      </c>
      <c r="J308" s="2" t="s">
        <v>47</v>
      </c>
      <c r="K308" s="2" t="s">
        <v>34</v>
      </c>
      <c r="L308" s="2">
        <v>1.0</v>
      </c>
      <c r="M308" s="2" t="s">
        <v>19</v>
      </c>
      <c r="N308" s="2">
        <v>6.0</v>
      </c>
    </row>
    <row r="309">
      <c r="A309" s="2">
        <v>308.0</v>
      </c>
      <c r="B309" s="3">
        <v>45447.0</v>
      </c>
      <c r="C309" s="3">
        <v>45456.0</v>
      </c>
      <c r="D309" s="3" t="s">
        <v>14</v>
      </c>
      <c r="E309" s="2">
        <v>9.0</v>
      </c>
      <c r="F309" s="2" t="s">
        <v>20</v>
      </c>
      <c r="G309" s="2" t="s">
        <v>41</v>
      </c>
      <c r="H309" s="2">
        <v>1.0</v>
      </c>
      <c r="I309" s="2">
        <v>1.0</v>
      </c>
      <c r="J309" s="2" t="s">
        <v>64</v>
      </c>
      <c r="K309" s="2" t="s">
        <v>34</v>
      </c>
      <c r="L309" s="2">
        <v>2.0</v>
      </c>
      <c r="M309" s="2" t="s">
        <v>24</v>
      </c>
      <c r="N309" s="2">
        <v>4.0</v>
      </c>
    </row>
    <row r="310">
      <c r="A310" s="2">
        <v>309.0</v>
      </c>
      <c r="B310" s="3">
        <v>45769.0</v>
      </c>
      <c r="C310" s="3">
        <v>45783.0</v>
      </c>
      <c r="D310" s="3" t="s">
        <v>14</v>
      </c>
      <c r="E310" s="2">
        <v>14.0</v>
      </c>
      <c r="F310" s="2" t="s">
        <v>15</v>
      </c>
      <c r="G310" s="2" t="s">
        <v>37</v>
      </c>
      <c r="H310" s="2">
        <v>2.0</v>
      </c>
      <c r="I310" s="2">
        <v>1.0</v>
      </c>
      <c r="J310" s="2" t="s">
        <v>44</v>
      </c>
      <c r="K310" s="2" t="s">
        <v>23</v>
      </c>
      <c r="L310" s="2">
        <v>4.0</v>
      </c>
      <c r="M310" s="2" t="s">
        <v>24</v>
      </c>
      <c r="N310" s="2">
        <v>2.0</v>
      </c>
    </row>
    <row r="311">
      <c r="A311" s="2">
        <v>310.0</v>
      </c>
      <c r="B311" s="3">
        <v>45435.0</v>
      </c>
      <c r="C311" s="3">
        <v>45436.0</v>
      </c>
      <c r="D311" s="3" t="s">
        <v>14</v>
      </c>
      <c r="E311" s="2">
        <v>1.0</v>
      </c>
      <c r="F311" s="2" t="s">
        <v>31</v>
      </c>
      <c r="G311" s="2" t="s">
        <v>35</v>
      </c>
      <c r="H311" s="2">
        <v>4.0</v>
      </c>
      <c r="I311" s="2">
        <v>3.0</v>
      </c>
      <c r="J311" s="2" t="s">
        <v>47</v>
      </c>
      <c r="K311" s="2" t="s">
        <v>23</v>
      </c>
      <c r="L311" s="2">
        <v>1.0</v>
      </c>
      <c r="M311" s="2" t="s">
        <v>19</v>
      </c>
      <c r="N311" s="2">
        <v>5.0</v>
      </c>
    </row>
    <row r="312">
      <c r="A312" s="2">
        <v>311.0</v>
      </c>
      <c r="B312" s="3">
        <v>45355.0</v>
      </c>
      <c r="C312" s="3">
        <v>45360.0</v>
      </c>
      <c r="D312" s="3" t="s">
        <v>14</v>
      </c>
      <c r="E312" s="2">
        <v>5.0</v>
      </c>
      <c r="F312" s="2" t="s">
        <v>25</v>
      </c>
      <c r="G312" s="2" t="s">
        <v>59</v>
      </c>
      <c r="H312" s="2">
        <v>1.0</v>
      </c>
      <c r="I312" s="2">
        <v>1.0</v>
      </c>
      <c r="J312" s="2" t="s">
        <v>47</v>
      </c>
      <c r="K312" s="2" t="s">
        <v>34</v>
      </c>
      <c r="L312" s="2">
        <v>4.0</v>
      </c>
      <c r="M312" s="2" t="s">
        <v>24</v>
      </c>
      <c r="N312" s="2">
        <v>3.0</v>
      </c>
    </row>
    <row r="313">
      <c r="A313" s="2">
        <v>312.0</v>
      </c>
      <c r="B313" s="3">
        <v>45713.0</v>
      </c>
      <c r="C313" s="3">
        <v>45716.0</v>
      </c>
      <c r="D313" s="3" t="s">
        <v>14</v>
      </c>
      <c r="E313" s="2">
        <v>3.0</v>
      </c>
      <c r="F313" s="2" t="s">
        <v>42</v>
      </c>
      <c r="G313" s="2" t="s">
        <v>43</v>
      </c>
      <c r="H313" s="2">
        <v>1.0</v>
      </c>
      <c r="I313" s="2">
        <v>1.0</v>
      </c>
      <c r="J313" s="2" t="s">
        <v>17</v>
      </c>
      <c r="K313" s="2" t="s">
        <v>23</v>
      </c>
      <c r="L313" s="2">
        <v>4.0</v>
      </c>
      <c r="M313" s="2" t="s">
        <v>19</v>
      </c>
      <c r="N313" s="2">
        <v>1.0</v>
      </c>
    </row>
    <row r="314">
      <c r="A314" s="2">
        <v>313.0</v>
      </c>
      <c r="B314" s="3">
        <v>45828.0</v>
      </c>
      <c r="C314" s="3" t="s">
        <v>29</v>
      </c>
      <c r="D314" s="3" t="s">
        <v>52</v>
      </c>
      <c r="E314" s="2" t="s">
        <v>29</v>
      </c>
      <c r="F314" s="2" t="s">
        <v>15</v>
      </c>
      <c r="G314" s="2" t="s">
        <v>16</v>
      </c>
      <c r="H314" s="2">
        <v>1.0</v>
      </c>
      <c r="I314" s="2" t="s">
        <v>29</v>
      </c>
      <c r="J314" s="2" t="s">
        <v>17</v>
      </c>
      <c r="K314" s="2" t="s">
        <v>39</v>
      </c>
      <c r="L314" s="2">
        <v>6.0</v>
      </c>
      <c r="M314" s="2" t="s">
        <v>24</v>
      </c>
      <c r="N314" s="2">
        <v>1.0</v>
      </c>
    </row>
    <row r="315">
      <c r="A315" s="2">
        <v>314.0</v>
      </c>
      <c r="B315" s="3">
        <v>45564.0</v>
      </c>
      <c r="C315" s="3">
        <v>45568.0</v>
      </c>
      <c r="D315" s="3" t="s">
        <v>14</v>
      </c>
      <c r="E315" s="2">
        <v>4.0</v>
      </c>
      <c r="F315" s="2" t="s">
        <v>25</v>
      </c>
      <c r="G315" s="2" t="s">
        <v>68</v>
      </c>
      <c r="H315" s="2">
        <v>2.0</v>
      </c>
      <c r="I315" s="2">
        <v>1.0</v>
      </c>
      <c r="J315" s="2" t="s">
        <v>63</v>
      </c>
      <c r="K315" s="2" t="s">
        <v>23</v>
      </c>
      <c r="L315" s="2">
        <v>4.0</v>
      </c>
      <c r="M315" s="2" t="s">
        <v>24</v>
      </c>
      <c r="N315" s="2">
        <v>3.0</v>
      </c>
    </row>
    <row r="316">
      <c r="A316" s="2">
        <v>315.0</v>
      </c>
      <c r="B316" s="3">
        <v>45655.0</v>
      </c>
      <c r="C316" s="3">
        <v>45667.0</v>
      </c>
      <c r="D316" s="3" t="s">
        <v>14</v>
      </c>
      <c r="E316" s="2">
        <v>12.0</v>
      </c>
      <c r="F316" s="2" t="s">
        <v>25</v>
      </c>
      <c r="G316" s="2" t="s">
        <v>68</v>
      </c>
      <c r="H316" s="2">
        <v>3.0</v>
      </c>
      <c r="I316" s="2">
        <v>2.0</v>
      </c>
      <c r="J316" s="2" t="s">
        <v>38</v>
      </c>
      <c r="K316" s="2" t="s">
        <v>60</v>
      </c>
      <c r="L316" s="2">
        <v>2.0</v>
      </c>
      <c r="M316" s="2" t="s">
        <v>24</v>
      </c>
      <c r="N316" s="2">
        <v>1.0</v>
      </c>
    </row>
    <row r="317">
      <c r="A317" s="2">
        <v>316.0</v>
      </c>
      <c r="B317" s="3">
        <v>45405.0</v>
      </c>
      <c r="C317" s="3" t="s">
        <v>29</v>
      </c>
      <c r="D317" s="3" t="s">
        <v>52</v>
      </c>
      <c r="E317" s="2" t="s">
        <v>29</v>
      </c>
      <c r="F317" s="2" t="s">
        <v>25</v>
      </c>
      <c r="G317" s="2" t="s">
        <v>26</v>
      </c>
      <c r="H317" s="2">
        <v>3.0</v>
      </c>
      <c r="I317" s="2" t="s">
        <v>29</v>
      </c>
      <c r="J317" s="2" t="s">
        <v>63</v>
      </c>
      <c r="K317" s="2" t="s">
        <v>39</v>
      </c>
      <c r="L317" s="2">
        <v>3.0</v>
      </c>
      <c r="M317" s="2" t="s">
        <v>24</v>
      </c>
      <c r="N317" s="2">
        <v>1.0</v>
      </c>
    </row>
    <row r="318">
      <c r="A318" s="2">
        <v>317.0</v>
      </c>
      <c r="B318" s="3">
        <v>45513.0</v>
      </c>
      <c r="C318" s="3">
        <v>45524.0</v>
      </c>
      <c r="D318" s="3" t="s">
        <v>14</v>
      </c>
      <c r="E318" s="2">
        <v>11.0</v>
      </c>
      <c r="F318" s="2" t="s">
        <v>45</v>
      </c>
      <c r="G318" s="2" t="s">
        <v>70</v>
      </c>
      <c r="H318" s="2">
        <v>4.0</v>
      </c>
      <c r="I318" s="2">
        <v>2.0</v>
      </c>
      <c r="J318" s="2" t="s">
        <v>44</v>
      </c>
      <c r="K318" s="2" t="s">
        <v>23</v>
      </c>
      <c r="L318" s="2">
        <v>1.0</v>
      </c>
      <c r="M318" s="2" t="s">
        <v>24</v>
      </c>
      <c r="N318" s="2">
        <v>2.0</v>
      </c>
    </row>
    <row r="319">
      <c r="A319" s="2">
        <v>318.0</v>
      </c>
      <c r="B319" s="3">
        <v>45542.0</v>
      </c>
      <c r="C319" s="3">
        <v>45555.0</v>
      </c>
      <c r="D319" s="3" t="s">
        <v>14</v>
      </c>
      <c r="E319" s="2">
        <v>13.0</v>
      </c>
      <c r="F319" s="2" t="s">
        <v>42</v>
      </c>
      <c r="G319" s="2" t="s">
        <v>50</v>
      </c>
      <c r="H319" s="2">
        <v>4.0</v>
      </c>
      <c r="I319" s="2">
        <v>2.0</v>
      </c>
      <c r="J319" s="2" t="s">
        <v>47</v>
      </c>
      <c r="K319" s="2" t="s">
        <v>18</v>
      </c>
      <c r="L319" s="2">
        <v>4.0</v>
      </c>
      <c r="M319" s="2" t="s">
        <v>24</v>
      </c>
      <c r="N319" s="2">
        <v>6.0</v>
      </c>
    </row>
    <row r="320">
      <c r="A320" s="2">
        <v>319.0</v>
      </c>
      <c r="B320" s="3">
        <v>45435.0</v>
      </c>
      <c r="C320" s="3">
        <v>45437.0</v>
      </c>
      <c r="D320" s="3" t="s">
        <v>14</v>
      </c>
      <c r="E320" s="2">
        <v>2.0</v>
      </c>
      <c r="F320" s="2" t="s">
        <v>45</v>
      </c>
      <c r="G320" s="2" t="s">
        <v>70</v>
      </c>
      <c r="H320" s="2">
        <v>4.0</v>
      </c>
      <c r="I320" s="2">
        <v>1.0</v>
      </c>
      <c r="J320" s="2" t="s">
        <v>17</v>
      </c>
      <c r="K320" s="2" t="s">
        <v>34</v>
      </c>
      <c r="L320" s="2">
        <v>6.0</v>
      </c>
      <c r="M320" s="2" t="s">
        <v>19</v>
      </c>
      <c r="N320" s="2">
        <v>4.0</v>
      </c>
    </row>
    <row r="321">
      <c r="A321" s="2">
        <v>320.0</v>
      </c>
      <c r="B321" s="3">
        <v>45500.0</v>
      </c>
      <c r="C321" s="3" t="s">
        <v>29</v>
      </c>
      <c r="D321" s="3" t="s">
        <v>30</v>
      </c>
      <c r="E321" s="2" t="s">
        <v>29</v>
      </c>
      <c r="F321" s="2" t="s">
        <v>45</v>
      </c>
      <c r="G321" s="2" t="s">
        <v>46</v>
      </c>
      <c r="H321" s="2">
        <v>2.0</v>
      </c>
      <c r="I321" s="2" t="s">
        <v>29</v>
      </c>
      <c r="J321" s="2" t="s">
        <v>47</v>
      </c>
      <c r="K321" s="2" t="s">
        <v>34</v>
      </c>
      <c r="L321" s="2">
        <v>5.0</v>
      </c>
      <c r="M321" s="2" t="s">
        <v>24</v>
      </c>
      <c r="N321" s="2">
        <v>5.0</v>
      </c>
    </row>
    <row r="322">
      <c r="A322" s="2">
        <v>321.0</v>
      </c>
      <c r="B322" s="3">
        <v>45510.0</v>
      </c>
      <c r="C322" s="3">
        <v>45512.0</v>
      </c>
      <c r="D322" s="3" t="s">
        <v>14</v>
      </c>
      <c r="E322" s="2">
        <v>2.0</v>
      </c>
      <c r="F322" s="2" t="s">
        <v>25</v>
      </c>
      <c r="G322" s="2" t="s">
        <v>26</v>
      </c>
      <c r="H322" s="2">
        <v>2.0</v>
      </c>
      <c r="I322" s="2">
        <v>2.0</v>
      </c>
      <c r="J322" s="2" t="s">
        <v>51</v>
      </c>
      <c r="K322" s="2" t="s">
        <v>60</v>
      </c>
      <c r="L322" s="2">
        <v>5.0</v>
      </c>
      <c r="M322" s="2" t="s">
        <v>24</v>
      </c>
      <c r="N322" s="2">
        <v>6.0</v>
      </c>
    </row>
    <row r="323">
      <c r="A323" s="2">
        <v>322.0</v>
      </c>
      <c r="B323" s="3">
        <v>45816.0</v>
      </c>
      <c r="C323" s="3" t="s">
        <v>29</v>
      </c>
      <c r="D323" s="3" t="s">
        <v>30</v>
      </c>
      <c r="E323" s="2" t="s">
        <v>29</v>
      </c>
      <c r="F323" s="2" t="s">
        <v>25</v>
      </c>
      <c r="G323" s="2" t="s">
        <v>61</v>
      </c>
      <c r="H323" s="2">
        <v>4.0</v>
      </c>
      <c r="I323" s="2" t="s">
        <v>29</v>
      </c>
      <c r="J323" s="2" t="s">
        <v>62</v>
      </c>
      <c r="K323" s="2" t="s">
        <v>60</v>
      </c>
      <c r="L323" s="2">
        <v>1.0</v>
      </c>
      <c r="M323" s="2" t="s">
        <v>19</v>
      </c>
      <c r="N323" s="2">
        <v>3.0</v>
      </c>
    </row>
    <row r="324">
      <c r="A324" s="2">
        <v>323.0</v>
      </c>
      <c r="B324" s="3">
        <v>45705.0</v>
      </c>
      <c r="C324" s="3">
        <v>45729.0</v>
      </c>
      <c r="D324" s="3" t="s">
        <v>14</v>
      </c>
      <c r="E324" s="2">
        <v>24.0</v>
      </c>
      <c r="F324" s="2" t="s">
        <v>45</v>
      </c>
      <c r="G324" s="2" t="s">
        <v>46</v>
      </c>
      <c r="H324" s="2">
        <v>4.0</v>
      </c>
      <c r="I324" s="2">
        <v>4.0</v>
      </c>
      <c r="J324" s="2" t="s">
        <v>67</v>
      </c>
      <c r="K324" s="2" t="s">
        <v>28</v>
      </c>
      <c r="L324" s="2">
        <v>2.0</v>
      </c>
      <c r="M324" s="2" t="s">
        <v>19</v>
      </c>
      <c r="N324" s="2">
        <v>5.0</v>
      </c>
    </row>
    <row r="325">
      <c r="A325" s="2">
        <v>324.0</v>
      </c>
      <c r="B325" s="3">
        <v>45577.0</v>
      </c>
      <c r="C325" s="3">
        <v>45588.0</v>
      </c>
      <c r="D325" s="3" t="s">
        <v>14</v>
      </c>
      <c r="E325" s="2">
        <v>11.0</v>
      </c>
      <c r="F325" s="2" t="s">
        <v>25</v>
      </c>
      <c r="G325" s="2" t="s">
        <v>26</v>
      </c>
      <c r="H325" s="2">
        <v>3.0</v>
      </c>
      <c r="I325" s="2">
        <v>2.0</v>
      </c>
      <c r="J325" s="2" t="s">
        <v>27</v>
      </c>
      <c r="K325" s="2" t="s">
        <v>18</v>
      </c>
      <c r="L325" s="2">
        <v>3.0</v>
      </c>
      <c r="M325" s="2" t="s">
        <v>19</v>
      </c>
      <c r="N325" s="2">
        <v>5.0</v>
      </c>
    </row>
    <row r="326">
      <c r="A326" s="2">
        <v>325.0</v>
      </c>
      <c r="B326" s="3">
        <v>45751.0</v>
      </c>
      <c r="C326" s="3">
        <v>45765.0</v>
      </c>
      <c r="D326" s="3" t="s">
        <v>14</v>
      </c>
      <c r="E326" s="2">
        <v>14.0</v>
      </c>
      <c r="F326" s="2" t="s">
        <v>42</v>
      </c>
      <c r="G326" s="2" t="s">
        <v>65</v>
      </c>
      <c r="H326" s="2">
        <v>1.0</v>
      </c>
      <c r="I326" s="2">
        <v>1.0</v>
      </c>
      <c r="J326" s="2" t="s">
        <v>58</v>
      </c>
      <c r="K326" s="2" t="s">
        <v>60</v>
      </c>
      <c r="L326" s="2">
        <v>1.0</v>
      </c>
      <c r="M326" s="2" t="s">
        <v>19</v>
      </c>
      <c r="N326" s="2">
        <v>3.0</v>
      </c>
    </row>
    <row r="327">
      <c r="A327" s="2">
        <v>326.0</v>
      </c>
      <c r="B327" s="3">
        <v>45547.0</v>
      </c>
      <c r="C327" s="3">
        <v>45559.0</v>
      </c>
      <c r="D327" s="3" t="s">
        <v>14</v>
      </c>
      <c r="E327" s="2">
        <v>12.0</v>
      </c>
      <c r="F327" s="2" t="s">
        <v>25</v>
      </c>
      <c r="G327" s="2" t="s">
        <v>68</v>
      </c>
      <c r="H327" s="2">
        <v>4.0</v>
      </c>
      <c r="I327" s="2">
        <v>2.0</v>
      </c>
      <c r="J327" s="2" t="s">
        <v>17</v>
      </c>
      <c r="K327" s="2" t="s">
        <v>23</v>
      </c>
      <c r="L327" s="2">
        <v>2.0</v>
      </c>
      <c r="M327" s="2" t="s">
        <v>24</v>
      </c>
      <c r="N327" s="2">
        <v>5.0</v>
      </c>
    </row>
    <row r="328">
      <c r="A328" s="2">
        <v>327.0</v>
      </c>
      <c r="B328" s="3">
        <v>45634.0</v>
      </c>
      <c r="C328" s="3" t="s">
        <v>29</v>
      </c>
      <c r="D328" s="3" t="s">
        <v>52</v>
      </c>
      <c r="E328" s="2" t="s">
        <v>29</v>
      </c>
      <c r="F328" s="2" t="s">
        <v>20</v>
      </c>
      <c r="G328" s="2" t="s">
        <v>41</v>
      </c>
      <c r="H328" s="2">
        <v>3.0</v>
      </c>
      <c r="I328" s="2" t="s">
        <v>29</v>
      </c>
      <c r="J328" s="2" t="s">
        <v>58</v>
      </c>
      <c r="K328" s="2" t="s">
        <v>23</v>
      </c>
      <c r="L328" s="2">
        <v>4.0</v>
      </c>
      <c r="M328" s="2" t="s">
        <v>24</v>
      </c>
      <c r="N328" s="2">
        <v>5.0</v>
      </c>
    </row>
    <row r="329">
      <c r="A329" s="2">
        <v>328.0</v>
      </c>
      <c r="B329" s="3">
        <v>45705.0</v>
      </c>
      <c r="C329" s="3">
        <v>45717.0</v>
      </c>
      <c r="D329" s="3" t="s">
        <v>14</v>
      </c>
      <c r="E329" s="2">
        <v>12.0</v>
      </c>
      <c r="F329" s="2" t="s">
        <v>15</v>
      </c>
      <c r="G329" s="2" t="s">
        <v>37</v>
      </c>
      <c r="H329" s="2">
        <v>4.0</v>
      </c>
      <c r="I329" s="2">
        <v>1.0</v>
      </c>
      <c r="J329" s="2" t="s">
        <v>27</v>
      </c>
      <c r="K329" s="2" t="s">
        <v>60</v>
      </c>
      <c r="L329" s="2">
        <v>4.0</v>
      </c>
      <c r="M329" s="2" t="s">
        <v>24</v>
      </c>
      <c r="N329" s="2">
        <v>1.0</v>
      </c>
    </row>
    <row r="330">
      <c r="A330" s="2">
        <v>329.0</v>
      </c>
      <c r="B330" s="3">
        <v>45764.0</v>
      </c>
      <c r="C330" s="3" t="s">
        <v>29</v>
      </c>
      <c r="D330" s="3" t="s">
        <v>52</v>
      </c>
      <c r="E330" s="2" t="s">
        <v>29</v>
      </c>
      <c r="F330" s="2" t="s">
        <v>25</v>
      </c>
      <c r="G330" s="2" t="s">
        <v>26</v>
      </c>
      <c r="H330" s="2">
        <v>1.0</v>
      </c>
      <c r="I330" s="2" t="s">
        <v>29</v>
      </c>
      <c r="J330" s="2" t="s">
        <v>62</v>
      </c>
      <c r="K330" s="2" t="s">
        <v>28</v>
      </c>
      <c r="L330" s="2">
        <v>3.0</v>
      </c>
      <c r="M330" s="2" t="s">
        <v>19</v>
      </c>
      <c r="N330" s="2">
        <v>1.0</v>
      </c>
    </row>
    <row r="331">
      <c r="A331" s="2">
        <v>330.0</v>
      </c>
      <c r="B331" s="3">
        <v>45415.0</v>
      </c>
      <c r="C331" s="3">
        <v>45426.0</v>
      </c>
      <c r="D331" s="3" t="s">
        <v>14</v>
      </c>
      <c r="E331" s="2">
        <v>11.0</v>
      </c>
      <c r="F331" s="2" t="s">
        <v>45</v>
      </c>
      <c r="G331" s="2" t="s">
        <v>56</v>
      </c>
      <c r="H331" s="2">
        <v>2.0</v>
      </c>
      <c r="I331" s="2">
        <v>2.0</v>
      </c>
      <c r="J331" s="2" t="s">
        <v>55</v>
      </c>
      <c r="K331" s="2" t="s">
        <v>18</v>
      </c>
      <c r="L331" s="2">
        <v>1.0</v>
      </c>
      <c r="M331" s="2" t="s">
        <v>19</v>
      </c>
      <c r="N331" s="2">
        <v>5.0</v>
      </c>
    </row>
    <row r="332">
      <c r="A332" s="2">
        <v>331.0</v>
      </c>
      <c r="B332" s="3">
        <v>45832.0</v>
      </c>
      <c r="C332" s="3">
        <v>45868.0</v>
      </c>
      <c r="D332" s="3" t="s">
        <v>14</v>
      </c>
      <c r="E332" s="2">
        <v>36.0</v>
      </c>
      <c r="F332" s="2" t="s">
        <v>20</v>
      </c>
      <c r="G332" s="2" t="s">
        <v>41</v>
      </c>
      <c r="H332" s="2">
        <v>4.0</v>
      </c>
      <c r="I332" s="2">
        <v>4.0</v>
      </c>
      <c r="J332" s="2" t="s">
        <v>66</v>
      </c>
      <c r="K332" s="2" t="s">
        <v>34</v>
      </c>
      <c r="L332" s="2">
        <v>3.0</v>
      </c>
      <c r="M332" s="2" t="s">
        <v>24</v>
      </c>
      <c r="N332" s="2">
        <v>6.0</v>
      </c>
    </row>
    <row r="333">
      <c r="A333" s="2">
        <v>332.0</v>
      </c>
      <c r="B333" s="3">
        <v>45734.0</v>
      </c>
      <c r="C333" s="3">
        <v>45748.0</v>
      </c>
      <c r="D333" s="3" t="s">
        <v>14</v>
      </c>
      <c r="E333" s="2">
        <v>14.0</v>
      </c>
      <c r="F333" s="2" t="s">
        <v>45</v>
      </c>
      <c r="G333" s="2" t="s">
        <v>46</v>
      </c>
      <c r="H333" s="2">
        <v>2.0</v>
      </c>
      <c r="I333" s="2">
        <v>1.0</v>
      </c>
      <c r="J333" s="2" t="s">
        <v>22</v>
      </c>
      <c r="K333" s="2" t="s">
        <v>60</v>
      </c>
      <c r="L333" s="2">
        <v>2.0</v>
      </c>
      <c r="M333" s="2" t="s">
        <v>19</v>
      </c>
      <c r="N333" s="2">
        <v>1.0</v>
      </c>
    </row>
    <row r="334">
      <c r="A334" s="2">
        <v>333.0</v>
      </c>
      <c r="B334" s="3">
        <v>45521.0</v>
      </c>
      <c r="C334" s="3">
        <v>45534.0</v>
      </c>
      <c r="D334" s="3" t="s">
        <v>14</v>
      </c>
      <c r="E334" s="2">
        <v>13.0</v>
      </c>
      <c r="F334" s="2" t="s">
        <v>31</v>
      </c>
      <c r="G334" s="2" t="s">
        <v>32</v>
      </c>
      <c r="H334" s="2">
        <v>3.0</v>
      </c>
      <c r="I334" s="2">
        <v>1.0</v>
      </c>
      <c r="J334" s="2" t="s">
        <v>66</v>
      </c>
      <c r="K334" s="2" t="s">
        <v>60</v>
      </c>
      <c r="L334" s="2">
        <v>1.0</v>
      </c>
      <c r="M334" s="2" t="s">
        <v>24</v>
      </c>
      <c r="N334" s="2">
        <v>4.0</v>
      </c>
    </row>
    <row r="335">
      <c r="A335" s="2">
        <v>334.0</v>
      </c>
      <c r="B335" s="3">
        <v>45692.0</v>
      </c>
      <c r="C335" s="3">
        <v>45706.0</v>
      </c>
      <c r="D335" s="3" t="s">
        <v>14</v>
      </c>
      <c r="E335" s="2">
        <v>14.0</v>
      </c>
      <c r="F335" s="2" t="s">
        <v>42</v>
      </c>
      <c r="G335" s="2" t="s">
        <v>50</v>
      </c>
      <c r="H335" s="2">
        <v>3.0</v>
      </c>
      <c r="I335" s="2">
        <v>3.0</v>
      </c>
      <c r="J335" s="2" t="s">
        <v>17</v>
      </c>
      <c r="K335" s="2" t="s">
        <v>23</v>
      </c>
      <c r="L335" s="2">
        <v>3.0</v>
      </c>
      <c r="M335" s="2" t="s">
        <v>24</v>
      </c>
      <c r="N335" s="2">
        <v>4.0</v>
      </c>
    </row>
    <row r="336">
      <c r="A336" s="2">
        <v>335.0</v>
      </c>
      <c r="B336" s="3">
        <v>45391.0</v>
      </c>
      <c r="C336" s="3" t="s">
        <v>29</v>
      </c>
      <c r="D336" s="3" t="s">
        <v>52</v>
      </c>
      <c r="E336" s="2" t="s">
        <v>29</v>
      </c>
      <c r="F336" s="2" t="s">
        <v>25</v>
      </c>
      <c r="G336" s="2" t="s">
        <v>59</v>
      </c>
      <c r="H336" s="2">
        <v>3.0</v>
      </c>
      <c r="I336" s="2" t="s">
        <v>29</v>
      </c>
      <c r="J336" s="2" t="s">
        <v>38</v>
      </c>
      <c r="K336" s="2" t="s">
        <v>18</v>
      </c>
      <c r="L336" s="2">
        <v>5.0</v>
      </c>
      <c r="M336" s="2" t="s">
        <v>19</v>
      </c>
      <c r="N336" s="2">
        <v>3.0</v>
      </c>
    </row>
    <row r="337">
      <c r="A337" s="2">
        <v>336.0</v>
      </c>
      <c r="B337" s="3">
        <v>45662.0</v>
      </c>
      <c r="C337" s="3">
        <v>45674.0</v>
      </c>
      <c r="D337" s="3" t="s">
        <v>14</v>
      </c>
      <c r="E337" s="2">
        <v>12.0</v>
      </c>
      <c r="F337" s="2" t="s">
        <v>45</v>
      </c>
      <c r="G337" s="2" t="s">
        <v>56</v>
      </c>
      <c r="H337" s="2">
        <v>1.0</v>
      </c>
      <c r="I337" s="2">
        <v>1.0</v>
      </c>
      <c r="J337" s="2" t="s">
        <v>57</v>
      </c>
      <c r="K337" s="2" t="s">
        <v>23</v>
      </c>
      <c r="L337" s="2">
        <v>4.0</v>
      </c>
      <c r="M337" s="2" t="s">
        <v>19</v>
      </c>
      <c r="N337" s="2">
        <v>3.0</v>
      </c>
    </row>
    <row r="338">
      <c r="A338" s="2">
        <v>337.0</v>
      </c>
      <c r="B338" s="3">
        <v>45363.0</v>
      </c>
      <c r="C338" s="3">
        <v>45364.0</v>
      </c>
      <c r="D338" s="3" t="s">
        <v>14</v>
      </c>
      <c r="E338" s="2">
        <v>1.0</v>
      </c>
      <c r="F338" s="2" t="s">
        <v>20</v>
      </c>
      <c r="G338" s="2" t="s">
        <v>48</v>
      </c>
      <c r="H338" s="2">
        <v>4.0</v>
      </c>
      <c r="I338" s="2">
        <v>2.0</v>
      </c>
      <c r="J338" s="2" t="s">
        <v>66</v>
      </c>
      <c r="K338" s="2" t="s">
        <v>34</v>
      </c>
      <c r="L338" s="2">
        <v>5.0</v>
      </c>
      <c r="M338" s="2" t="s">
        <v>24</v>
      </c>
      <c r="N338" s="2">
        <v>3.0</v>
      </c>
    </row>
    <row r="339">
      <c r="A339" s="2">
        <v>338.0</v>
      </c>
      <c r="B339" s="3">
        <v>45828.0</v>
      </c>
      <c r="C339" s="3">
        <v>45838.0</v>
      </c>
      <c r="D339" s="3" t="s">
        <v>14</v>
      </c>
      <c r="E339" s="2">
        <v>10.0</v>
      </c>
      <c r="F339" s="2" t="s">
        <v>20</v>
      </c>
      <c r="G339" s="2" t="s">
        <v>41</v>
      </c>
      <c r="H339" s="2">
        <v>3.0</v>
      </c>
      <c r="I339" s="2">
        <v>2.0</v>
      </c>
      <c r="J339" s="2" t="s">
        <v>55</v>
      </c>
      <c r="K339" s="2" t="s">
        <v>34</v>
      </c>
      <c r="L339" s="2">
        <v>1.0</v>
      </c>
      <c r="M339" s="2" t="s">
        <v>19</v>
      </c>
      <c r="N339" s="2">
        <v>4.0</v>
      </c>
    </row>
    <row r="340">
      <c r="A340" s="2">
        <v>339.0</v>
      </c>
      <c r="B340" s="3">
        <v>45739.0</v>
      </c>
      <c r="C340" s="3">
        <v>45750.0</v>
      </c>
      <c r="D340" s="3" t="s">
        <v>14</v>
      </c>
      <c r="E340" s="2">
        <v>11.0</v>
      </c>
      <c r="F340" s="2" t="s">
        <v>42</v>
      </c>
      <c r="G340" s="2" t="s">
        <v>65</v>
      </c>
      <c r="H340" s="2">
        <v>1.0</v>
      </c>
      <c r="I340" s="2">
        <v>1.0</v>
      </c>
      <c r="J340" s="2" t="s">
        <v>27</v>
      </c>
      <c r="K340" s="2" t="s">
        <v>34</v>
      </c>
      <c r="L340" s="2">
        <v>4.0</v>
      </c>
      <c r="M340" s="2" t="s">
        <v>19</v>
      </c>
      <c r="N340" s="2">
        <v>3.0</v>
      </c>
    </row>
    <row r="341">
      <c r="A341" s="2">
        <v>340.0</v>
      </c>
      <c r="B341" s="3">
        <v>45469.0</v>
      </c>
      <c r="C341" s="3">
        <v>45479.0</v>
      </c>
      <c r="D341" s="3" t="s">
        <v>14</v>
      </c>
      <c r="E341" s="2">
        <v>10.0</v>
      </c>
      <c r="F341" s="2" t="s">
        <v>20</v>
      </c>
      <c r="G341" s="2" t="s">
        <v>21</v>
      </c>
      <c r="H341" s="2">
        <v>4.0</v>
      </c>
      <c r="I341" s="2">
        <v>2.0</v>
      </c>
      <c r="J341" s="2" t="s">
        <v>66</v>
      </c>
      <c r="K341" s="2" t="s">
        <v>39</v>
      </c>
      <c r="L341" s="2">
        <v>3.0</v>
      </c>
      <c r="M341" s="2" t="s">
        <v>24</v>
      </c>
      <c r="N341" s="2">
        <v>5.0</v>
      </c>
    </row>
    <row r="342">
      <c r="A342" s="2">
        <v>341.0</v>
      </c>
      <c r="B342" s="3">
        <v>45520.0</v>
      </c>
      <c r="C342" s="3">
        <v>45528.0</v>
      </c>
      <c r="D342" s="3" t="s">
        <v>14</v>
      </c>
      <c r="E342" s="2">
        <v>8.0</v>
      </c>
      <c r="F342" s="2" t="s">
        <v>20</v>
      </c>
      <c r="G342" s="2" t="s">
        <v>48</v>
      </c>
      <c r="H342" s="2">
        <v>4.0</v>
      </c>
      <c r="I342" s="2">
        <v>4.0</v>
      </c>
      <c r="J342" s="2" t="s">
        <v>62</v>
      </c>
      <c r="K342" s="2" t="s">
        <v>18</v>
      </c>
      <c r="L342" s="2">
        <v>5.0</v>
      </c>
      <c r="M342" s="2" t="s">
        <v>24</v>
      </c>
      <c r="N342" s="2">
        <v>1.0</v>
      </c>
    </row>
    <row r="343">
      <c r="A343" s="2">
        <v>342.0</v>
      </c>
      <c r="B343" s="3">
        <v>45675.0</v>
      </c>
      <c r="C343" s="3">
        <v>45687.0</v>
      </c>
      <c r="D343" s="3" t="s">
        <v>14</v>
      </c>
      <c r="E343" s="2">
        <v>12.0</v>
      </c>
      <c r="F343" s="2" t="s">
        <v>45</v>
      </c>
      <c r="G343" s="2" t="s">
        <v>70</v>
      </c>
      <c r="H343" s="2">
        <v>1.0</v>
      </c>
      <c r="I343" s="2">
        <v>1.0</v>
      </c>
      <c r="J343" s="2" t="s">
        <v>27</v>
      </c>
      <c r="K343" s="2" t="s">
        <v>39</v>
      </c>
      <c r="L343" s="2">
        <v>5.0</v>
      </c>
      <c r="M343" s="2" t="s">
        <v>24</v>
      </c>
      <c r="N343" s="2">
        <v>4.0</v>
      </c>
    </row>
    <row r="344">
      <c r="A344" s="2">
        <v>343.0</v>
      </c>
      <c r="B344" s="3">
        <v>45622.0</v>
      </c>
      <c r="C344" s="3">
        <v>45632.0</v>
      </c>
      <c r="D344" s="3" t="s">
        <v>14</v>
      </c>
      <c r="E344" s="2">
        <v>10.0</v>
      </c>
      <c r="F344" s="2" t="s">
        <v>20</v>
      </c>
      <c r="G344" s="2" t="s">
        <v>21</v>
      </c>
      <c r="H344" s="2">
        <v>4.0</v>
      </c>
      <c r="I344" s="2">
        <v>4.0</v>
      </c>
      <c r="J344" s="2" t="s">
        <v>57</v>
      </c>
      <c r="K344" s="2" t="s">
        <v>39</v>
      </c>
      <c r="L344" s="2">
        <v>6.0</v>
      </c>
      <c r="M344" s="2" t="s">
        <v>19</v>
      </c>
      <c r="N344" s="2">
        <v>2.0</v>
      </c>
    </row>
    <row r="345">
      <c r="A345" s="2">
        <v>344.0</v>
      </c>
      <c r="B345" s="3">
        <v>45713.0</v>
      </c>
      <c r="C345" s="3">
        <v>45726.0</v>
      </c>
      <c r="D345" s="3" t="s">
        <v>14</v>
      </c>
      <c r="E345" s="2">
        <v>13.0</v>
      </c>
      <c r="F345" s="2" t="s">
        <v>15</v>
      </c>
      <c r="G345" s="2" t="s">
        <v>37</v>
      </c>
      <c r="H345" s="2">
        <v>3.0</v>
      </c>
      <c r="I345" s="2">
        <v>3.0</v>
      </c>
      <c r="J345" s="2" t="s">
        <v>62</v>
      </c>
      <c r="K345" s="2" t="s">
        <v>34</v>
      </c>
      <c r="L345" s="2">
        <v>1.0</v>
      </c>
      <c r="M345" s="2" t="s">
        <v>19</v>
      </c>
      <c r="N345" s="2">
        <v>6.0</v>
      </c>
    </row>
    <row r="346">
      <c r="A346" s="2">
        <v>345.0</v>
      </c>
      <c r="B346" s="3">
        <v>45322.0</v>
      </c>
      <c r="C346" s="3">
        <v>45323.0</v>
      </c>
      <c r="D346" s="3" t="s">
        <v>14</v>
      </c>
      <c r="E346" s="2">
        <v>1.0</v>
      </c>
      <c r="F346" s="2" t="s">
        <v>45</v>
      </c>
      <c r="G346" s="2" t="s">
        <v>46</v>
      </c>
      <c r="H346" s="2">
        <v>3.0</v>
      </c>
      <c r="I346" s="2">
        <v>2.0</v>
      </c>
      <c r="J346" s="2" t="s">
        <v>58</v>
      </c>
      <c r="K346" s="2" t="s">
        <v>60</v>
      </c>
      <c r="L346" s="2">
        <v>6.0</v>
      </c>
      <c r="M346" s="2" t="s">
        <v>19</v>
      </c>
      <c r="N346" s="2">
        <v>2.0</v>
      </c>
    </row>
    <row r="347">
      <c r="A347" s="2">
        <v>346.0</v>
      </c>
      <c r="B347" s="3">
        <v>45488.0</v>
      </c>
      <c r="C347" s="3">
        <v>45526.0</v>
      </c>
      <c r="D347" s="3" t="s">
        <v>14</v>
      </c>
      <c r="E347" s="2">
        <v>38.0</v>
      </c>
      <c r="F347" s="2" t="s">
        <v>31</v>
      </c>
      <c r="G347" s="2" t="s">
        <v>32</v>
      </c>
      <c r="H347" s="2">
        <v>2.0</v>
      </c>
      <c r="I347" s="2">
        <v>2.0</v>
      </c>
      <c r="J347" s="2" t="s">
        <v>36</v>
      </c>
      <c r="K347" s="2" t="s">
        <v>28</v>
      </c>
      <c r="L347" s="2">
        <v>5.0</v>
      </c>
      <c r="M347" s="2" t="s">
        <v>19</v>
      </c>
      <c r="N347" s="2">
        <v>6.0</v>
      </c>
    </row>
    <row r="348">
      <c r="A348" s="2">
        <v>347.0</v>
      </c>
      <c r="B348" s="3">
        <v>45433.0</v>
      </c>
      <c r="C348" s="3">
        <v>45447.0</v>
      </c>
      <c r="D348" s="3" t="s">
        <v>14</v>
      </c>
      <c r="E348" s="2">
        <v>14.0</v>
      </c>
      <c r="F348" s="2" t="s">
        <v>20</v>
      </c>
      <c r="G348" s="2" t="s">
        <v>21</v>
      </c>
      <c r="H348" s="2">
        <v>1.0</v>
      </c>
      <c r="I348" s="2">
        <v>1.0</v>
      </c>
      <c r="J348" s="2" t="s">
        <v>58</v>
      </c>
      <c r="K348" s="2" t="s">
        <v>39</v>
      </c>
      <c r="L348" s="2">
        <v>1.0</v>
      </c>
      <c r="M348" s="2" t="s">
        <v>19</v>
      </c>
      <c r="N348" s="2">
        <v>1.0</v>
      </c>
    </row>
    <row r="349">
      <c r="A349" s="2">
        <v>348.0</v>
      </c>
      <c r="B349" s="3">
        <v>45739.0</v>
      </c>
      <c r="C349" s="3">
        <v>45746.0</v>
      </c>
      <c r="D349" s="3" t="s">
        <v>14</v>
      </c>
      <c r="E349" s="2">
        <v>7.0</v>
      </c>
      <c r="F349" s="2" t="s">
        <v>42</v>
      </c>
      <c r="G349" s="2" t="s">
        <v>43</v>
      </c>
      <c r="H349" s="2">
        <v>3.0</v>
      </c>
      <c r="I349" s="2">
        <v>2.0</v>
      </c>
      <c r="J349" s="2" t="s">
        <v>57</v>
      </c>
      <c r="K349" s="2" t="s">
        <v>60</v>
      </c>
      <c r="L349" s="2">
        <v>2.0</v>
      </c>
      <c r="M349" s="2" t="s">
        <v>19</v>
      </c>
      <c r="N349" s="2">
        <v>4.0</v>
      </c>
    </row>
    <row r="350">
      <c r="A350" s="2">
        <v>349.0</v>
      </c>
      <c r="B350" s="3">
        <v>45811.0</v>
      </c>
      <c r="C350" s="3">
        <v>45827.0</v>
      </c>
      <c r="D350" s="3" t="s">
        <v>14</v>
      </c>
      <c r="E350" s="2">
        <v>16.0</v>
      </c>
      <c r="F350" s="2" t="s">
        <v>20</v>
      </c>
      <c r="G350" s="2" t="s">
        <v>41</v>
      </c>
      <c r="H350" s="2">
        <v>2.0</v>
      </c>
      <c r="I350" s="2">
        <v>1.0</v>
      </c>
      <c r="J350" s="2" t="s">
        <v>38</v>
      </c>
      <c r="K350" s="2" t="s">
        <v>18</v>
      </c>
      <c r="L350" s="2">
        <v>6.0</v>
      </c>
      <c r="M350" s="2" t="s">
        <v>24</v>
      </c>
      <c r="N350" s="2">
        <v>5.0</v>
      </c>
    </row>
    <row r="351">
      <c r="A351" s="2">
        <v>350.0</v>
      </c>
      <c r="B351" s="3">
        <v>45753.0</v>
      </c>
      <c r="C351" s="3" t="s">
        <v>29</v>
      </c>
      <c r="D351" s="3" t="s">
        <v>52</v>
      </c>
      <c r="E351" s="2" t="s">
        <v>29</v>
      </c>
      <c r="F351" s="2" t="s">
        <v>45</v>
      </c>
      <c r="G351" s="2" t="s">
        <v>46</v>
      </c>
      <c r="H351" s="2">
        <v>3.0</v>
      </c>
      <c r="I351" s="2" t="s">
        <v>29</v>
      </c>
      <c r="J351" s="2" t="s">
        <v>63</v>
      </c>
      <c r="K351" s="2" t="s">
        <v>28</v>
      </c>
      <c r="L351" s="2">
        <v>6.0</v>
      </c>
      <c r="M351" s="2" t="s">
        <v>19</v>
      </c>
      <c r="N351" s="2">
        <v>5.0</v>
      </c>
    </row>
    <row r="352">
      <c r="A352" s="2">
        <v>351.0</v>
      </c>
      <c r="B352" s="3">
        <v>45578.0</v>
      </c>
      <c r="C352" s="3">
        <v>45605.0</v>
      </c>
      <c r="D352" s="3" t="s">
        <v>14</v>
      </c>
      <c r="E352" s="2">
        <v>27.0</v>
      </c>
      <c r="F352" s="2" t="s">
        <v>25</v>
      </c>
      <c r="G352" s="2" t="s">
        <v>68</v>
      </c>
      <c r="H352" s="2">
        <v>3.0</v>
      </c>
      <c r="I352" s="2">
        <v>2.0</v>
      </c>
      <c r="J352" s="2" t="s">
        <v>62</v>
      </c>
      <c r="K352" s="2" t="s">
        <v>39</v>
      </c>
      <c r="L352" s="2">
        <v>5.0</v>
      </c>
      <c r="M352" s="2" t="s">
        <v>24</v>
      </c>
      <c r="N352" s="2">
        <v>3.0</v>
      </c>
    </row>
    <row r="353">
      <c r="A353" s="2">
        <v>352.0</v>
      </c>
      <c r="B353" s="3">
        <v>45567.0</v>
      </c>
      <c r="C353" s="3">
        <v>45574.0</v>
      </c>
      <c r="D353" s="3" t="s">
        <v>14</v>
      </c>
      <c r="E353" s="2">
        <v>7.0</v>
      </c>
      <c r="F353" s="2" t="s">
        <v>15</v>
      </c>
      <c r="G353" s="2" t="s">
        <v>16</v>
      </c>
      <c r="H353" s="2">
        <v>2.0</v>
      </c>
      <c r="I353" s="2">
        <v>2.0</v>
      </c>
      <c r="J353" s="2" t="s">
        <v>64</v>
      </c>
      <c r="K353" s="2" t="s">
        <v>28</v>
      </c>
      <c r="L353" s="2">
        <v>1.0</v>
      </c>
      <c r="M353" s="2" t="s">
        <v>24</v>
      </c>
      <c r="N353" s="2">
        <v>3.0</v>
      </c>
    </row>
    <row r="354">
      <c r="A354" s="2">
        <v>353.0</v>
      </c>
      <c r="B354" s="3">
        <v>45555.0</v>
      </c>
      <c r="C354" s="3" t="s">
        <v>29</v>
      </c>
      <c r="D354" s="3" t="s">
        <v>30</v>
      </c>
      <c r="E354" s="2" t="s">
        <v>29</v>
      </c>
      <c r="F354" s="2" t="s">
        <v>42</v>
      </c>
      <c r="G354" s="2" t="s">
        <v>50</v>
      </c>
      <c r="H354" s="2">
        <v>4.0</v>
      </c>
      <c r="I354" s="2" t="s">
        <v>29</v>
      </c>
      <c r="J354" s="2" t="s">
        <v>33</v>
      </c>
      <c r="K354" s="2" t="s">
        <v>39</v>
      </c>
      <c r="L354" s="2">
        <v>5.0</v>
      </c>
      <c r="M354" s="2" t="s">
        <v>19</v>
      </c>
      <c r="N354" s="2">
        <v>1.0</v>
      </c>
    </row>
    <row r="355">
      <c r="A355" s="2">
        <v>354.0</v>
      </c>
      <c r="B355" s="3">
        <v>45769.0</v>
      </c>
      <c r="C355" s="3">
        <v>45781.0</v>
      </c>
      <c r="D355" s="3" t="s">
        <v>14</v>
      </c>
      <c r="E355" s="2">
        <v>12.0</v>
      </c>
      <c r="F355" s="2" t="s">
        <v>25</v>
      </c>
      <c r="G355" s="2" t="s">
        <v>26</v>
      </c>
      <c r="H355" s="2">
        <v>3.0</v>
      </c>
      <c r="I355" s="2">
        <v>3.0</v>
      </c>
      <c r="J355" s="2" t="s">
        <v>64</v>
      </c>
      <c r="K355" s="2" t="s">
        <v>18</v>
      </c>
      <c r="L355" s="2">
        <v>2.0</v>
      </c>
      <c r="M355" s="2" t="s">
        <v>24</v>
      </c>
      <c r="N355" s="2">
        <v>2.0</v>
      </c>
    </row>
    <row r="356">
      <c r="A356" s="2">
        <v>355.0</v>
      </c>
      <c r="B356" s="3">
        <v>45616.0</v>
      </c>
      <c r="C356" s="3">
        <v>45619.0</v>
      </c>
      <c r="D356" s="3" t="s">
        <v>14</v>
      </c>
      <c r="E356" s="2">
        <v>3.0</v>
      </c>
      <c r="F356" s="2" t="s">
        <v>31</v>
      </c>
      <c r="G356" s="2" t="s">
        <v>35</v>
      </c>
      <c r="H356" s="2">
        <v>3.0</v>
      </c>
      <c r="I356" s="2">
        <v>3.0</v>
      </c>
      <c r="J356" s="2" t="s">
        <v>38</v>
      </c>
      <c r="K356" s="2" t="s">
        <v>34</v>
      </c>
      <c r="L356" s="2">
        <v>6.0</v>
      </c>
      <c r="M356" s="2" t="s">
        <v>24</v>
      </c>
      <c r="N356" s="2">
        <v>1.0</v>
      </c>
    </row>
    <row r="357">
      <c r="A357" s="2">
        <v>356.0</v>
      </c>
      <c r="B357" s="3">
        <v>45754.0</v>
      </c>
      <c r="C357" s="3">
        <v>45759.0</v>
      </c>
      <c r="D357" s="3" t="s">
        <v>14</v>
      </c>
      <c r="E357" s="2">
        <v>5.0</v>
      </c>
      <c r="F357" s="2" t="s">
        <v>45</v>
      </c>
      <c r="G357" s="2" t="s">
        <v>70</v>
      </c>
      <c r="H357" s="2">
        <v>4.0</v>
      </c>
      <c r="I357" s="2">
        <v>2.0</v>
      </c>
      <c r="J357" s="2" t="s">
        <v>36</v>
      </c>
      <c r="K357" s="2" t="s">
        <v>34</v>
      </c>
      <c r="L357" s="2">
        <v>2.0</v>
      </c>
      <c r="M357" s="2" t="s">
        <v>24</v>
      </c>
      <c r="N357" s="2">
        <v>6.0</v>
      </c>
    </row>
    <row r="358">
      <c r="A358" s="2">
        <v>357.0</v>
      </c>
      <c r="B358" s="3">
        <v>45819.0</v>
      </c>
      <c r="C358" s="3">
        <v>45824.0</v>
      </c>
      <c r="D358" s="3" t="s">
        <v>14</v>
      </c>
      <c r="E358" s="2">
        <v>5.0</v>
      </c>
      <c r="F358" s="2" t="s">
        <v>31</v>
      </c>
      <c r="G358" s="2" t="s">
        <v>69</v>
      </c>
      <c r="H358" s="2">
        <v>3.0</v>
      </c>
      <c r="I358" s="2">
        <v>3.0</v>
      </c>
      <c r="J358" s="2" t="s">
        <v>51</v>
      </c>
      <c r="K358" s="2" t="s">
        <v>39</v>
      </c>
      <c r="L358" s="2">
        <v>2.0</v>
      </c>
      <c r="M358" s="2" t="s">
        <v>19</v>
      </c>
      <c r="N358" s="2">
        <v>6.0</v>
      </c>
    </row>
    <row r="359">
      <c r="A359" s="2">
        <v>358.0</v>
      </c>
      <c r="B359" s="3">
        <v>45731.0</v>
      </c>
      <c r="C359" s="3">
        <v>45736.0</v>
      </c>
      <c r="D359" s="3" t="s">
        <v>14</v>
      </c>
      <c r="E359" s="2">
        <v>5.0</v>
      </c>
      <c r="F359" s="2" t="s">
        <v>45</v>
      </c>
      <c r="G359" s="2" t="s">
        <v>56</v>
      </c>
      <c r="H359" s="2">
        <v>4.0</v>
      </c>
      <c r="I359" s="2">
        <v>1.0</v>
      </c>
      <c r="J359" s="2" t="s">
        <v>22</v>
      </c>
      <c r="K359" s="2" t="s">
        <v>23</v>
      </c>
      <c r="L359" s="2">
        <v>6.0</v>
      </c>
      <c r="M359" s="2" t="s">
        <v>19</v>
      </c>
      <c r="N359" s="2">
        <v>6.0</v>
      </c>
    </row>
    <row r="360">
      <c r="A360" s="2">
        <v>359.0</v>
      </c>
      <c r="B360" s="3">
        <v>45483.0</v>
      </c>
      <c r="C360" s="3">
        <v>45492.0</v>
      </c>
      <c r="D360" s="3" t="s">
        <v>14</v>
      </c>
      <c r="E360" s="2">
        <v>9.0</v>
      </c>
      <c r="F360" s="2" t="s">
        <v>42</v>
      </c>
      <c r="G360" s="2" t="s">
        <v>50</v>
      </c>
      <c r="H360" s="2">
        <v>3.0</v>
      </c>
      <c r="I360" s="2">
        <v>1.0</v>
      </c>
      <c r="J360" s="2" t="s">
        <v>38</v>
      </c>
      <c r="K360" s="2" t="s">
        <v>34</v>
      </c>
      <c r="L360" s="2">
        <v>5.0</v>
      </c>
      <c r="M360" s="2" t="s">
        <v>24</v>
      </c>
      <c r="N360" s="2">
        <v>6.0</v>
      </c>
    </row>
    <row r="361">
      <c r="A361" s="2">
        <v>360.0</v>
      </c>
      <c r="B361" s="3">
        <v>45810.0</v>
      </c>
      <c r="C361" s="3">
        <v>45817.0</v>
      </c>
      <c r="D361" s="3" t="s">
        <v>14</v>
      </c>
      <c r="E361" s="2">
        <v>7.0</v>
      </c>
      <c r="F361" s="2" t="s">
        <v>20</v>
      </c>
      <c r="G361" s="2" t="s">
        <v>41</v>
      </c>
      <c r="H361" s="2">
        <v>3.0</v>
      </c>
      <c r="I361" s="2">
        <v>1.0</v>
      </c>
      <c r="J361" s="2" t="s">
        <v>64</v>
      </c>
      <c r="K361" s="2" t="s">
        <v>28</v>
      </c>
      <c r="L361" s="2">
        <v>1.0</v>
      </c>
      <c r="M361" s="2" t="s">
        <v>24</v>
      </c>
      <c r="N361" s="2">
        <v>6.0</v>
      </c>
    </row>
    <row r="362">
      <c r="A362" s="2">
        <v>361.0</v>
      </c>
      <c r="B362" s="3">
        <v>45733.0</v>
      </c>
      <c r="C362" s="3" t="s">
        <v>29</v>
      </c>
      <c r="D362" s="3" t="s">
        <v>52</v>
      </c>
      <c r="E362" s="2" t="s">
        <v>29</v>
      </c>
      <c r="F362" s="2" t="s">
        <v>15</v>
      </c>
      <c r="G362" s="2" t="s">
        <v>16</v>
      </c>
      <c r="H362" s="2">
        <v>2.0</v>
      </c>
      <c r="I362" s="2" t="s">
        <v>29</v>
      </c>
      <c r="J362" s="2" t="s">
        <v>47</v>
      </c>
      <c r="K362" s="2" t="s">
        <v>34</v>
      </c>
      <c r="L362" s="2">
        <v>4.0</v>
      </c>
      <c r="M362" s="2" t="s">
        <v>19</v>
      </c>
      <c r="N362" s="2">
        <v>3.0</v>
      </c>
    </row>
    <row r="363">
      <c r="A363" s="2">
        <v>362.0</v>
      </c>
      <c r="B363" s="3">
        <v>45505.0</v>
      </c>
      <c r="C363" s="3" t="s">
        <v>29</v>
      </c>
      <c r="D363" s="3" t="s">
        <v>30</v>
      </c>
      <c r="E363" s="2" t="s">
        <v>29</v>
      </c>
      <c r="F363" s="2" t="s">
        <v>20</v>
      </c>
      <c r="G363" s="2" t="s">
        <v>48</v>
      </c>
      <c r="H363" s="2">
        <v>1.0</v>
      </c>
      <c r="I363" s="2" t="s">
        <v>29</v>
      </c>
      <c r="J363" s="2" t="s">
        <v>67</v>
      </c>
      <c r="K363" s="2" t="s">
        <v>23</v>
      </c>
      <c r="L363" s="2">
        <v>6.0</v>
      </c>
      <c r="M363" s="2" t="s">
        <v>19</v>
      </c>
      <c r="N363" s="2">
        <v>4.0</v>
      </c>
    </row>
    <row r="364">
      <c r="A364" s="2">
        <v>363.0</v>
      </c>
      <c r="B364" s="3">
        <v>45764.0</v>
      </c>
      <c r="C364" s="3">
        <v>45769.0</v>
      </c>
      <c r="D364" s="3" t="s">
        <v>14</v>
      </c>
      <c r="E364" s="2">
        <v>5.0</v>
      </c>
      <c r="F364" s="2" t="s">
        <v>45</v>
      </c>
      <c r="G364" s="2" t="s">
        <v>70</v>
      </c>
      <c r="H364" s="2">
        <v>2.0</v>
      </c>
      <c r="I364" s="2">
        <v>2.0</v>
      </c>
      <c r="J364" s="2" t="s">
        <v>49</v>
      </c>
      <c r="K364" s="2" t="s">
        <v>18</v>
      </c>
      <c r="L364" s="2">
        <v>6.0</v>
      </c>
      <c r="M364" s="2" t="s">
        <v>19</v>
      </c>
      <c r="N364" s="2">
        <v>4.0</v>
      </c>
    </row>
    <row r="365">
      <c r="A365" s="2">
        <v>364.0</v>
      </c>
      <c r="B365" s="3">
        <v>45466.0</v>
      </c>
      <c r="C365" s="3">
        <v>45480.0</v>
      </c>
      <c r="D365" s="3" t="s">
        <v>14</v>
      </c>
      <c r="E365" s="2">
        <v>14.0</v>
      </c>
      <c r="F365" s="2" t="s">
        <v>25</v>
      </c>
      <c r="G365" s="2" t="s">
        <v>61</v>
      </c>
      <c r="H365" s="2">
        <v>4.0</v>
      </c>
      <c r="I365" s="2">
        <v>4.0</v>
      </c>
      <c r="J365" s="2" t="s">
        <v>66</v>
      </c>
      <c r="K365" s="2" t="s">
        <v>60</v>
      </c>
      <c r="L365" s="2">
        <v>6.0</v>
      </c>
      <c r="M365" s="2" t="s">
        <v>24</v>
      </c>
      <c r="N365" s="2">
        <v>6.0</v>
      </c>
    </row>
    <row r="366">
      <c r="A366" s="2">
        <v>365.0</v>
      </c>
      <c r="B366" s="3">
        <v>45329.0</v>
      </c>
      <c r="C366" s="3">
        <v>45357.0</v>
      </c>
      <c r="D366" s="3" t="s">
        <v>14</v>
      </c>
      <c r="E366" s="2">
        <v>28.0</v>
      </c>
      <c r="F366" s="2" t="s">
        <v>25</v>
      </c>
      <c r="G366" s="2" t="s">
        <v>61</v>
      </c>
      <c r="H366" s="2">
        <v>4.0</v>
      </c>
      <c r="I366" s="2">
        <v>1.0</v>
      </c>
      <c r="J366" s="2" t="s">
        <v>49</v>
      </c>
      <c r="K366" s="2" t="s">
        <v>18</v>
      </c>
      <c r="L366" s="2">
        <v>5.0</v>
      </c>
      <c r="M366" s="2" t="s">
        <v>24</v>
      </c>
      <c r="N366" s="2">
        <v>6.0</v>
      </c>
    </row>
    <row r="367">
      <c r="A367" s="2">
        <v>366.0</v>
      </c>
      <c r="B367" s="3">
        <v>45374.0</v>
      </c>
      <c r="C367" s="3">
        <v>45401.0</v>
      </c>
      <c r="D367" s="3" t="s">
        <v>14</v>
      </c>
      <c r="E367" s="2">
        <v>27.0</v>
      </c>
      <c r="F367" s="2" t="s">
        <v>25</v>
      </c>
      <c r="G367" s="2" t="s">
        <v>68</v>
      </c>
      <c r="H367" s="2">
        <v>4.0</v>
      </c>
      <c r="I367" s="2">
        <v>3.0</v>
      </c>
      <c r="J367" s="2" t="s">
        <v>63</v>
      </c>
      <c r="K367" s="2" t="s">
        <v>18</v>
      </c>
      <c r="L367" s="2">
        <v>2.0</v>
      </c>
      <c r="M367" s="2" t="s">
        <v>19</v>
      </c>
      <c r="N367" s="2">
        <v>6.0</v>
      </c>
    </row>
    <row r="368">
      <c r="A368" s="2">
        <v>367.0</v>
      </c>
      <c r="B368" s="3">
        <v>45554.0</v>
      </c>
      <c r="C368" s="3" t="s">
        <v>29</v>
      </c>
      <c r="D368" s="3" t="s">
        <v>30</v>
      </c>
      <c r="E368" s="2" t="s">
        <v>29</v>
      </c>
      <c r="F368" s="2" t="s">
        <v>42</v>
      </c>
      <c r="G368" s="2" t="s">
        <v>50</v>
      </c>
      <c r="H368" s="2">
        <v>4.0</v>
      </c>
      <c r="I368" s="2" t="s">
        <v>29</v>
      </c>
      <c r="J368" s="2" t="s">
        <v>40</v>
      </c>
      <c r="K368" s="2" t="s">
        <v>60</v>
      </c>
      <c r="L368" s="2">
        <v>6.0</v>
      </c>
      <c r="M368" s="2" t="s">
        <v>19</v>
      </c>
      <c r="N368" s="2">
        <v>5.0</v>
      </c>
    </row>
    <row r="369">
      <c r="A369" s="2">
        <v>368.0</v>
      </c>
      <c r="B369" s="3">
        <v>45566.0</v>
      </c>
      <c r="C369" s="3">
        <v>45580.0</v>
      </c>
      <c r="D369" s="3" t="s">
        <v>14</v>
      </c>
      <c r="E369" s="2">
        <v>14.0</v>
      </c>
      <c r="F369" s="2" t="s">
        <v>20</v>
      </c>
      <c r="G369" s="2" t="s">
        <v>48</v>
      </c>
      <c r="H369" s="2">
        <v>2.0</v>
      </c>
      <c r="I369" s="2">
        <v>2.0</v>
      </c>
      <c r="J369" s="2" t="s">
        <v>64</v>
      </c>
      <c r="K369" s="2" t="s">
        <v>18</v>
      </c>
      <c r="L369" s="2">
        <v>5.0</v>
      </c>
      <c r="M369" s="2" t="s">
        <v>24</v>
      </c>
      <c r="N369" s="2">
        <v>6.0</v>
      </c>
    </row>
    <row r="370">
      <c r="A370" s="2">
        <v>369.0</v>
      </c>
      <c r="B370" s="3">
        <v>45299.0</v>
      </c>
      <c r="C370" s="3">
        <v>45307.0</v>
      </c>
      <c r="D370" s="3" t="s">
        <v>14</v>
      </c>
      <c r="E370" s="2">
        <v>8.0</v>
      </c>
      <c r="F370" s="2" t="s">
        <v>45</v>
      </c>
      <c r="G370" s="2" t="s">
        <v>46</v>
      </c>
      <c r="H370" s="2">
        <v>2.0</v>
      </c>
      <c r="I370" s="2">
        <v>1.0</v>
      </c>
      <c r="J370" s="2" t="s">
        <v>27</v>
      </c>
      <c r="K370" s="2" t="s">
        <v>60</v>
      </c>
      <c r="L370" s="2">
        <v>5.0</v>
      </c>
      <c r="M370" s="2" t="s">
        <v>24</v>
      </c>
      <c r="N370" s="2">
        <v>5.0</v>
      </c>
    </row>
    <row r="371">
      <c r="A371" s="2">
        <v>370.0</v>
      </c>
      <c r="B371" s="3">
        <v>45482.0</v>
      </c>
      <c r="C371" s="3">
        <v>45488.0</v>
      </c>
      <c r="D371" s="3" t="s">
        <v>14</v>
      </c>
      <c r="E371" s="2">
        <v>6.0</v>
      </c>
      <c r="F371" s="2" t="s">
        <v>45</v>
      </c>
      <c r="G371" s="2" t="s">
        <v>70</v>
      </c>
      <c r="H371" s="2">
        <v>2.0</v>
      </c>
      <c r="I371" s="2">
        <v>1.0</v>
      </c>
      <c r="J371" s="2" t="s">
        <v>49</v>
      </c>
      <c r="K371" s="2" t="s">
        <v>39</v>
      </c>
      <c r="L371" s="2">
        <v>5.0</v>
      </c>
      <c r="M371" s="2" t="s">
        <v>19</v>
      </c>
      <c r="N371" s="2">
        <v>4.0</v>
      </c>
    </row>
    <row r="372">
      <c r="A372" s="2">
        <v>371.0</v>
      </c>
      <c r="B372" s="3">
        <v>45695.0</v>
      </c>
      <c r="C372" s="3">
        <v>45709.0</v>
      </c>
      <c r="D372" s="3" t="s">
        <v>14</v>
      </c>
      <c r="E372" s="2">
        <v>14.0</v>
      </c>
      <c r="F372" s="2" t="s">
        <v>45</v>
      </c>
      <c r="G372" s="2" t="s">
        <v>70</v>
      </c>
      <c r="H372" s="2">
        <v>2.0</v>
      </c>
      <c r="I372" s="2">
        <v>2.0</v>
      </c>
      <c r="J372" s="2" t="s">
        <v>51</v>
      </c>
      <c r="K372" s="2" t="s">
        <v>60</v>
      </c>
      <c r="L372" s="2">
        <v>3.0</v>
      </c>
      <c r="M372" s="2" t="s">
        <v>24</v>
      </c>
      <c r="N372" s="2">
        <v>2.0</v>
      </c>
    </row>
    <row r="373">
      <c r="A373" s="2">
        <v>372.0</v>
      </c>
      <c r="B373" s="3">
        <v>45614.0</v>
      </c>
      <c r="C373" s="3">
        <v>45627.0</v>
      </c>
      <c r="D373" s="3" t="s">
        <v>14</v>
      </c>
      <c r="E373" s="2">
        <v>13.0</v>
      </c>
      <c r="F373" s="2" t="s">
        <v>25</v>
      </c>
      <c r="G373" s="2" t="s">
        <v>61</v>
      </c>
      <c r="H373" s="2">
        <v>2.0</v>
      </c>
      <c r="I373" s="2">
        <v>1.0</v>
      </c>
      <c r="J373" s="2" t="s">
        <v>51</v>
      </c>
      <c r="K373" s="2" t="s">
        <v>60</v>
      </c>
      <c r="L373" s="2">
        <v>3.0</v>
      </c>
      <c r="M373" s="2" t="s">
        <v>19</v>
      </c>
      <c r="N373" s="2">
        <v>4.0</v>
      </c>
    </row>
    <row r="374">
      <c r="A374" s="2">
        <v>373.0</v>
      </c>
      <c r="B374" s="3">
        <v>45812.0</v>
      </c>
      <c r="C374" s="3">
        <v>45825.0</v>
      </c>
      <c r="D374" s="3" t="s">
        <v>14</v>
      </c>
      <c r="E374" s="2">
        <v>13.0</v>
      </c>
      <c r="F374" s="2" t="s">
        <v>42</v>
      </c>
      <c r="G374" s="2" t="s">
        <v>43</v>
      </c>
      <c r="H374" s="2">
        <v>4.0</v>
      </c>
      <c r="I374" s="2">
        <v>3.0</v>
      </c>
      <c r="J374" s="2" t="s">
        <v>36</v>
      </c>
      <c r="K374" s="2" t="s">
        <v>60</v>
      </c>
      <c r="L374" s="2">
        <v>4.0</v>
      </c>
      <c r="M374" s="2" t="s">
        <v>19</v>
      </c>
      <c r="N374" s="2">
        <v>6.0</v>
      </c>
    </row>
    <row r="375">
      <c r="A375" s="2">
        <v>374.0</v>
      </c>
      <c r="B375" s="3">
        <v>45518.0</v>
      </c>
      <c r="C375" s="3">
        <v>45528.0</v>
      </c>
      <c r="D375" s="3" t="s">
        <v>14</v>
      </c>
      <c r="E375" s="2">
        <v>10.0</v>
      </c>
      <c r="F375" s="2" t="s">
        <v>20</v>
      </c>
      <c r="G375" s="2" t="s">
        <v>48</v>
      </c>
      <c r="H375" s="2">
        <v>2.0</v>
      </c>
      <c r="I375" s="2">
        <v>2.0</v>
      </c>
      <c r="J375" s="2" t="s">
        <v>44</v>
      </c>
      <c r="K375" s="2" t="s">
        <v>23</v>
      </c>
      <c r="L375" s="2">
        <v>1.0</v>
      </c>
      <c r="M375" s="2" t="s">
        <v>19</v>
      </c>
      <c r="N375" s="2">
        <v>5.0</v>
      </c>
    </row>
    <row r="376">
      <c r="A376" s="2">
        <v>375.0</v>
      </c>
      <c r="B376" s="3">
        <v>45669.0</v>
      </c>
      <c r="C376" s="3" t="s">
        <v>29</v>
      </c>
      <c r="D376" s="3" t="s">
        <v>52</v>
      </c>
      <c r="E376" s="2" t="s">
        <v>29</v>
      </c>
      <c r="F376" s="2" t="s">
        <v>15</v>
      </c>
      <c r="G376" s="2" t="s">
        <v>16</v>
      </c>
      <c r="H376" s="2">
        <v>1.0</v>
      </c>
      <c r="I376" s="2" t="s">
        <v>29</v>
      </c>
      <c r="J376" s="2" t="s">
        <v>49</v>
      </c>
      <c r="K376" s="2" t="s">
        <v>60</v>
      </c>
      <c r="L376" s="2">
        <v>5.0</v>
      </c>
      <c r="M376" s="2" t="s">
        <v>24</v>
      </c>
      <c r="N376" s="2">
        <v>4.0</v>
      </c>
    </row>
    <row r="377">
      <c r="A377" s="2">
        <v>376.0</v>
      </c>
      <c r="B377" s="3">
        <v>45656.0</v>
      </c>
      <c r="C377" s="3" t="s">
        <v>29</v>
      </c>
      <c r="D377" s="3" t="s">
        <v>52</v>
      </c>
      <c r="E377" s="2" t="s">
        <v>29</v>
      </c>
      <c r="F377" s="2" t="s">
        <v>25</v>
      </c>
      <c r="G377" s="2" t="s">
        <v>61</v>
      </c>
      <c r="H377" s="2">
        <v>1.0</v>
      </c>
      <c r="I377" s="2" t="s">
        <v>29</v>
      </c>
      <c r="J377" s="2" t="s">
        <v>63</v>
      </c>
      <c r="K377" s="2" t="s">
        <v>39</v>
      </c>
      <c r="L377" s="2">
        <v>5.0</v>
      </c>
      <c r="M377" s="2" t="s">
        <v>19</v>
      </c>
      <c r="N377" s="2">
        <v>2.0</v>
      </c>
    </row>
    <row r="378">
      <c r="A378" s="2">
        <v>377.0</v>
      </c>
      <c r="B378" s="3">
        <v>45316.0</v>
      </c>
      <c r="C378" s="3">
        <v>45333.0</v>
      </c>
      <c r="D378" s="3" t="s">
        <v>14</v>
      </c>
      <c r="E378" s="2">
        <v>17.0</v>
      </c>
      <c r="F378" s="2" t="s">
        <v>25</v>
      </c>
      <c r="G378" s="2" t="s">
        <v>68</v>
      </c>
      <c r="H378" s="2">
        <v>4.0</v>
      </c>
      <c r="I378" s="2">
        <v>1.0</v>
      </c>
      <c r="J378" s="2" t="s">
        <v>44</v>
      </c>
      <c r="K378" s="2" t="s">
        <v>39</v>
      </c>
      <c r="L378" s="2">
        <v>4.0</v>
      </c>
      <c r="M378" s="2" t="s">
        <v>24</v>
      </c>
      <c r="N378" s="2">
        <v>4.0</v>
      </c>
    </row>
    <row r="379">
      <c r="A379" s="2">
        <v>378.0</v>
      </c>
      <c r="B379" s="3">
        <v>45501.0</v>
      </c>
      <c r="C379" s="3" t="s">
        <v>29</v>
      </c>
      <c r="D379" s="3" t="s">
        <v>52</v>
      </c>
      <c r="E379" s="2" t="s">
        <v>29</v>
      </c>
      <c r="F379" s="2" t="s">
        <v>45</v>
      </c>
      <c r="G379" s="2" t="s">
        <v>46</v>
      </c>
      <c r="H379" s="2">
        <v>4.0</v>
      </c>
      <c r="I379" s="2" t="s">
        <v>29</v>
      </c>
      <c r="J379" s="2" t="s">
        <v>47</v>
      </c>
      <c r="K379" s="2" t="s">
        <v>28</v>
      </c>
      <c r="L379" s="2">
        <v>2.0</v>
      </c>
      <c r="M379" s="2" t="s">
        <v>19</v>
      </c>
      <c r="N379" s="2">
        <v>1.0</v>
      </c>
    </row>
    <row r="380">
      <c r="A380" s="2">
        <v>379.0</v>
      </c>
      <c r="B380" s="3">
        <v>45785.0</v>
      </c>
      <c r="C380" s="3">
        <v>45788.0</v>
      </c>
      <c r="D380" s="3" t="s">
        <v>14</v>
      </c>
      <c r="E380" s="2">
        <v>3.0</v>
      </c>
      <c r="F380" s="2" t="s">
        <v>25</v>
      </c>
      <c r="G380" s="2" t="s">
        <v>59</v>
      </c>
      <c r="H380" s="2">
        <v>2.0</v>
      </c>
      <c r="I380" s="2">
        <v>1.0</v>
      </c>
      <c r="J380" s="2" t="s">
        <v>63</v>
      </c>
      <c r="K380" s="2" t="s">
        <v>34</v>
      </c>
      <c r="L380" s="2">
        <v>2.0</v>
      </c>
      <c r="M380" s="2" t="s">
        <v>19</v>
      </c>
      <c r="N380" s="2">
        <v>4.0</v>
      </c>
    </row>
    <row r="381">
      <c r="A381" s="2">
        <v>380.0</v>
      </c>
      <c r="B381" s="3">
        <v>45548.0</v>
      </c>
      <c r="C381" s="3">
        <v>45557.0</v>
      </c>
      <c r="D381" s="3" t="s">
        <v>14</v>
      </c>
      <c r="E381" s="2">
        <v>9.0</v>
      </c>
      <c r="F381" s="2" t="s">
        <v>15</v>
      </c>
      <c r="G381" s="2" t="s">
        <v>37</v>
      </c>
      <c r="H381" s="2">
        <v>2.0</v>
      </c>
      <c r="I381" s="2">
        <v>2.0</v>
      </c>
      <c r="J381" s="2" t="s">
        <v>22</v>
      </c>
      <c r="K381" s="2" t="s">
        <v>18</v>
      </c>
      <c r="L381" s="2">
        <v>3.0</v>
      </c>
      <c r="M381" s="2" t="s">
        <v>19</v>
      </c>
      <c r="N381" s="2">
        <v>2.0</v>
      </c>
    </row>
    <row r="382">
      <c r="A382" s="2">
        <v>381.0</v>
      </c>
      <c r="B382" s="3">
        <v>45656.0</v>
      </c>
      <c r="C382" s="3" t="s">
        <v>29</v>
      </c>
      <c r="D382" s="3" t="s">
        <v>52</v>
      </c>
      <c r="E382" s="2" t="s">
        <v>29</v>
      </c>
      <c r="F382" s="2" t="s">
        <v>20</v>
      </c>
      <c r="G382" s="2" t="s">
        <v>48</v>
      </c>
      <c r="H382" s="2">
        <v>2.0</v>
      </c>
      <c r="I382" s="2" t="s">
        <v>29</v>
      </c>
      <c r="J382" s="2" t="s">
        <v>36</v>
      </c>
      <c r="K382" s="2" t="s">
        <v>28</v>
      </c>
      <c r="L382" s="2">
        <v>1.0</v>
      </c>
      <c r="M382" s="2" t="s">
        <v>24</v>
      </c>
      <c r="N382" s="2">
        <v>2.0</v>
      </c>
    </row>
    <row r="383">
      <c r="A383" s="2">
        <v>382.0</v>
      </c>
      <c r="B383" s="3">
        <v>45559.0</v>
      </c>
      <c r="C383" s="3">
        <v>45567.0</v>
      </c>
      <c r="D383" s="3" t="s">
        <v>14</v>
      </c>
      <c r="E383" s="2">
        <v>8.0</v>
      </c>
      <c r="F383" s="2" t="s">
        <v>42</v>
      </c>
      <c r="G383" s="2" t="s">
        <v>65</v>
      </c>
      <c r="H383" s="2">
        <v>4.0</v>
      </c>
      <c r="I383" s="2">
        <v>1.0</v>
      </c>
      <c r="J383" s="2" t="s">
        <v>17</v>
      </c>
      <c r="K383" s="2" t="s">
        <v>39</v>
      </c>
      <c r="L383" s="2">
        <v>6.0</v>
      </c>
      <c r="M383" s="2" t="s">
        <v>19</v>
      </c>
      <c r="N383" s="2">
        <v>1.0</v>
      </c>
    </row>
    <row r="384">
      <c r="A384" s="2">
        <v>383.0</v>
      </c>
      <c r="B384" s="3">
        <v>45748.0</v>
      </c>
      <c r="C384" s="3">
        <v>45757.0</v>
      </c>
      <c r="D384" s="3" t="s">
        <v>14</v>
      </c>
      <c r="E384" s="2">
        <v>9.0</v>
      </c>
      <c r="F384" s="2" t="s">
        <v>45</v>
      </c>
      <c r="G384" s="2" t="s">
        <v>46</v>
      </c>
      <c r="H384" s="2">
        <v>2.0</v>
      </c>
      <c r="I384" s="2">
        <v>2.0</v>
      </c>
      <c r="J384" s="2" t="s">
        <v>63</v>
      </c>
      <c r="K384" s="2" t="s">
        <v>28</v>
      </c>
      <c r="L384" s="2">
        <v>1.0</v>
      </c>
      <c r="M384" s="2" t="s">
        <v>24</v>
      </c>
      <c r="N384" s="2">
        <v>1.0</v>
      </c>
    </row>
    <row r="385">
      <c r="A385" s="2">
        <v>384.0</v>
      </c>
      <c r="B385" s="3">
        <v>45649.0</v>
      </c>
      <c r="C385" s="3">
        <v>45666.0</v>
      </c>
      <c r="D385" s="3" t="s">
        <v>14</v>
      </c>
      <c r="E385" s="2">
        <v>17.0</v>
      </c>
      <c r="F385" s="2" t="s">
        <v>31</v>
      </c>
      <c r="G385" s="2" t="s">
        <v>54</v>
      </c>
      <c r="H385" s="2">
        <v>3.0</v>
      </c>
      <c r="I385" s="2">
        <v>3.0</v>
      </c>
      <c r="J385" s="2" t="s">
        <v>17</v>
      </c>
      <c r="K385" s="2" t="s">
        <v>34</v>
      </c>
      <c r="L385" s="2">
        <v>3.0</v>
      </c>
      <c r="M385" s="2" t="s">
        <v>19</v>
      </c>
      <c r="N385" s="2">
        <v>4.0</v>
      </c>
    </row>
    <row r="386">
      <c r="A386" s="2">
        <v>385.0</v>
      </c>
      <c r="B386" s="3">
        <v>45765.0</v>
      </c>
      <c r="C386" s="3">
        <v>45774.0</v>
      </c>
      <c r="D386" s="3" t="s">
        <v>14</v>
      </c>
      <c r="E386" s="2">
        <v>9.0</v>
      </c>
      <c r="F386" s="2" t="s">
        <v>31</v>
      </c>
      <c r="G386" s="2" t="s">
        <v>32</v>
      </c>
      <c r="H386" s="2">
        <v>4.0</v>
      </c>
      <c r="I386" s="2">
        <v>3.0</v>
      </c>
      <c r="J386" s="2" t="s">
        <v>58</v>
      </c>
      <c r="K386" s="2" t="s">
        <v>18</v>
      </c>
      <c r="L386" s="2">
        <v>2.0</v>
      </c>
      <c r="M386" s="2" t="s">
        <v>24</v>
      </c>
      <c r="N386" s="2">
        <v>1.0</v>
      </c>
    </row>
    <row r="387">
      <c r="A387" s="2">
        <v>386.0</v>
      </c>
      <c r="B387" s="3">
        <v>45430.0</v>
      </c>
      <c r="C387" s="3" t="s">
        <v>29</v>
      </c>
      <c r="D387" s="3" t="s">
        <v>52</v>
      </c>
      <c r="E387" s="2" t="s">
        <v>29</v>
      </c>
      <c r="F387" s="2" t="s">
        <v>25</v>
      </c>
      <c r="G387" s="2" t="s">
        <v>59</v>
      </c>
      <c r="H387" s="2">
        <v>3.0</v>
      </c>
      <c r="I387" s="2" t="s">
        <v>29</v>
      </c>
      <c r="J387" s="2" t="s">
        <v>58</v>
      </c>
      <c r="K387" s="2" t="s">
        <v>60</v>
      </c>
      <c r="L387" s="2">
        <v>5.0</v>
      </c>
      <c r="M387" s="2" t="s">
        <v>19</v>
      </c>
      <c r="N387" s="2">
        <v>6.0</v>
      </c>
    </row>
    <row r="388">
      <c r="A388" s="2">
        <v>387.0</v>
      </c>
      <c r="B388" s="3">
        <v>45406.0</v>
      </c>
      <c r="C388" s="3" t="s">
        <v>29</v>
      </c>
      <c r="D388" s="3" t="s">
        <v>52</v>
      </c>
      <c r="E388" s="2" t="s">
        <v>29</v>
      </c>
      <c r="F388" s="2" t="s">
        <v>31</v>
      </c>
      <c r="G388" s="2" t="s">
        <v>69</v>
      </c>
      <c r="H388" s="2">
        <v>4.0</v>
      </c>
      <c r="I388" s="2" t="s">
        <v>29</v>
      </c>
      <c r="J388" s="2" t="s">
        <v>57</v>
      </c>
      <c r="K388" s="2" t="s">
        <v>23</v>
      </c>
      <c r="L388" s="2">
        <v>5.0</v>
      </c>
      <c r="M388" s="2" t="s">
        <v>24</v>
      </c>
      <c r="N388" s="2">
        <v>5.0</v>
      </c>
    </row>
    <row r="389">
      <c r="A389" s="2">
        <v>388.0</v>
      </c>
      <c r="B389" s="3">
        <v>45689.0</v>
      </c>
      <c r="C389" s="3">
        <v>45697.0</v>
      </c>
      <c r="D389" s="3" t="s">
        <v>14</v>
      </c>
      <c r="E389" s="2">
        <v>8.0</v>
      </c>
      <c r="F389" s="2" t="s">
        <v>25</v>
      </c>
      <c r="G389" s="2" t="s">
        <v>26</v>
      </c>
      <c r="H389" s="2">
        <v>4.0</v>
      </c>
      <c r="I389" s="2">
        <v>3.0</v>
      </c>
      <c r="J389" s="2" t="s">
        <v>51</v>
      </c>
      <c r="K389" s="2" t="s">
        <v>18</v>
      </c>
      <c r="L389" s="2">
        <v>1.0</v>
      </c>
      <c r="M389" s="2" t="s">
        <v>19</v>
      </c>
      <c r="N389" s="2">
        <v>6.0</v>
      </c>
    </row>
    <row r="390">
      <c r="A390" s="2">
        <v>389.0</v>
      </c>
      <c r="B390" s="3">
        <v>45672.0</v>
      </c>
      <c r="C390" s="3">
        <v>45675.0</v>
      </c>
      <c r="D390" s="3" t="s">
        <v>14</v>
      </c>
      <c r="E390" s="2">
        <v>3.0</v>
      </c>
      <c r="F390" s="2" t="s">
        <v>45</v>
      </c>
      <c r="G390" s="2" t="s">
        <v>46</v>
      </c>
      <c r="H390" s="2">
        <v>1.0</v>
      </c>
      <c r="I390" s="2">
        <v>1.0</v>
      </c>
      <c r="J390" s="2" t="s">
        <v>62</v>
      </c>
      <c r="K390" s="2" t="s">
        <v>28</v>
      </c>
      <c r="L390" s="2">
        <v>3.0</v>
      </c>
      <c r="M390" s="2" t="s">
        <v>24</v>
      </c>
      <c r="N390" s="2">
        <v>1.0</v>
      </c>
    </row>
    <row r="391">
      <c r="A391" s="2">
        <v>390.0</v>
      </c>
      <c r="B391" s="3">
        <v>45550.0</v>
      </c>
      <c r="C391" s="3">
        <v>45556.0</v>
      </c>
      <c r="D391" s="3" t="s">
        <v>14</v>
      </c>
      <c r="E391" s="2">
        <v>6.0</v>
      </c>
      <c r="F391" s="2" t="s">
        <v>20</v>
      </c>
      <c r="G391" s="2" t="s">
        <v>48</v>
      </c>
      <c r="H391" s="2">
        <v>4.0</v>
      </c>
      <c r="I391" s="2">
        <v>4.0</v>
      </c>
      <c r="J391" s="2" t="s">
        <v>17</v>
      </c>
      <c r="K391" s="2" t="s">
        <v>34</v>
      </c>
      <c r="L391" s="2">
        <v>2.0</v>
      </c>
      <c r="M391" s="2" t="s">
        <v>19</v>
      </c>
      <c r="N391" s="2">
        <v>4.0</v>
      </c>
    </row>
    <row r="392">
      <c r="A392" s="2">
        <v>391.0</v>
      </c>
      <c r="B392" s="3">
        <v>45434.0</v>
      </c>
      <c r="C392" s="3">
        <v>45471.0</v>
      </c>
      <c r="D392" s="3" t="s">
        <v>14</v>
      </c>
      <c r="E392" s="2">
        <v>37.0</v>
      </c>
      <c r="F392" s="2" t="s">
        <v>31</v>
      </c>
      <c r="G392" s="2" t="s">
        <v>54</v>
      </c>
      <c r="H392" s="2">
        <v>3.0</v>
      </c>
      <c r="I392" s="2">
        <v>2.0</v>
      </c>
      <c r="J392" s="2" t="s">
        <v>57</v>
      </c>
      <c r="K392" s="2" t="s">
        <v>18</v>
      </c>
      <c r="L392" s="2">
        <v>2.0</v>
      </c>
      <c r="M392" s="2" t="s">
        <v>24</v>
      </c>
      <c r="N392" s="2">
        <v>5.0</v>
      </c>
    </row>
    <row r="393">
      <c r="A393" s="2">
        <v>392.0</v>
      </c>
      <c r="B393" s="3">
        <v>45493.0</v>
      </c>
      <c r="C393" s="3">
        <v>45506.0</v>
      </c>
      <c r="D393" s="3" t="s">
        <v>14</v>
      </c>
      <c r="E393" s="2">
        <v>13.0</v>
      </c>
      <c r="F393" s="2" t="s">
        <v>25</v>
      </c>
      <c r="G393" s="2" t="s">
        <v>59</v>
      </c>
      <c r="H393" s="2">
        <v>3.0</v>
      </c>
      <c r="I393" s="2">
        <v>2.0</v>
      </c>
      <c r="J393" s="2" t="s">
        <v>22</v>
      </c>
      <c r="K393" s="2" t="s">
        <v>39</v>
      </c>
      <c r="L393" s="2">
        <v>6.0</v>
      </c>
      <c r="M393" s="2" t="s">
        <v>24</v>
      </c>
      <c r="N393" s="2">
        <v>2.0</v>
      </c>
    </row>
    <row r="394">
      <c r="A394" s="2">
        <v>393.0</v>
      </c>
      <c r="B394" s="3">
        <v>45557.0</v>
      </c>
      <c r="C394" s="3">
        <v>45563.0</v>
      </c>
      <c r="D394" s="3" t="s">
        <v>14</v>
      </c>
      <c r="E394" s="2">
        <v>6.0</v>
      </c>
      <c r="F394" s="2" t="s">
        <v>15</v>
      </c>
      <c r="G394" s="2" t="s">
        <v>37</v>
      </c>
      <c r="H394" s="2">
        <v>3.0</v>
      </c>
      <c r="I394" s="2">
        <v>2.0</v>
      </c>
      <c r="J394" s="2" t="s">
        <v>66</v>
      </c>
      <c r="K394" s="2" t="s">
        <v>18</v>
      </c>
      <c r="L394" s="2">
        <v>6.0</v>
      </c>
      <c r="M394" s="2" t="s">
        <v>24</v>
      </c>
      <c r="N394" s="2">
        <v>3.0</v>
      </c>
    </row>
    <row r="395">
      <c r="A395" s="2">
        <v>394.0</v>
      </c>
      <c r="B395" s="3">
        <v>45561.0</v>
      </c>
      <c r="C395" s="3">
        <v>45563.0</v>
      </c>
      <c r="D395" s="3" t="s">
        <v>14</v>
      </c>
      <c r="E395" s="2">
        <v>2.0</v>
      </c>
      <c r="F395" s="2" t="s">
        <v>25</v>
      </c>
      <c r="G395" s="2" t="s">
        <v>59</v>
      </c>
      <c r="H395" s="2">
        <v>4.0</v>
      </c>
      <c r="I395" s="2">
        <v>1.0</v>
      </c>
      <c r="J395" s="2" t="s">
        <v>57</v>
      </c>
      <c r="K395" s="2" t="s">
        <v>18</v>
      </c>
      <c r="L395" s="2">
        <v>1.0</v>
      </c>
      <c r="M395" s="2" t="s">
        <v>24</v>
      </c>
      <c r="N395" s="2">
        <v>4.0</v>
      </c>
    </row>
    <row r="396">
      <c r="A396" s="2">
        <v>395.0</v>
      </c>
      <c r="B396" s="3">
        <v>45821.0</v>
      </c>
      <c r="C396" s="3">
        <v>45829.0</v>
      </c>
      <c r="D396" s="3" t="s">
        <v>14</v>
      </c>
      <c r="E396" s="2">
        <v>8.0</v>
      </c>
      <c r="F396" s="2" t="s">
        <v>31</v>
      </c>
      <c r="G396" s="2" t="s">
        <v>54</v>
      </c>
      <c r="H396" s="2">
        <v>3.0</v>
      </c>
      <c r="I396" s="2">
        <v>1.0</v>
      </c>
      <c r="J396" s="2" t="s">
        <v>36</v>
      </c>
      <c r="K396" s="2" t="s">
        <v>34</v>
      </c>
      <c r="L396" s="2">
        <v>3.0</v>
      </c>
      <c r="M396" s="2" t="s">
        <v>19</v>
      </c>
      <c r="N396" s="2">
        <v>6.0</v>
      </c>
    </row>
    <row r="397">
      <c r="A397" s="2">
        <v>396.0</v>
      </c>
      <c r="B397" s="3">
        <v>45373.0</v>
      </c>
      <c r="C397" s="3">
        <v>45412.0</v>
      </c>
      <c r="D397" s="3" t="s">
        <v>14</v>
      </c>
      <c r="E397" s="2">
        <v>39.0</v>
      </c>
      <c r="F397" s="2" t="s">
        <v>15</v>
      </c>
      <c r="G397" s="2" t="s">
        <v>16</v>
      </c>
      <c r="H397" s="2">
        <v>1.0</v>
      </c>
      <c r="I397" s="2">
        <v>1.0</v>
      </c>
      <c r="J397" s="2" t="s">
        <v>17</v>
      </c>
      <c r="K397" s="2" t="s">
        <v>28</v>
      </c>
      <c r="L397" s="2">
        <v>3.0</v>
      </c>
      <c r="M397" s="2" t="s">
        <v>24</v>
      </c>
      <c r="N397" s="2">
        <v>6.0</v>
      </c>
    </row>
    <row r="398">
      <c r="A398" s="2">
        <v>397.0</v>
      </c>
      <c r="B398" s="3">
        <v>45731.0</v>
      </c>
      <c r="C398" s="3">
        <v>45738.0</v>
      </c>
      <c r="D398" s="3" t="s">
        <v>14</v>
      </c>
      <c r="E398" s="2">
        <v>7.0</v>
      </c>
      <c r="F398" s="2" t="s">
        <v>31</v>
      </c>
      <c r="G398" s="2" t="s">
        <v>32</v>
      </c>
      <c r="H398" s="2">
        <v>1.0</v>
      </c>
      <c r="I398" s="2">
        <v>1.0</v>
      </c>
      <c r="J398" s="2" t="s">
        <v>49</v>
      </c>
      <c r="K398" s="2" t="s">
        <v>34</v>
      </c>
      <c r="L398" s="2">
        <v>4.0</v>
      </c>
      <c r="M398" s="2" t="s">
        <v>19</v>
      </c>
      <c r="N398" s="2">
        <v>6.0</v>
      </c>
    </row>
    <row r="399">
      <c r="A399" s="2">
        <v>398.0</v>
      </c>
      <c r="B399" s="3">
        <v>45578.0</v>
      </c>
      <c r="C399" s="3">
        <v>45610.0</v>
      </c>
      <c r="D399" s="3" t="s">
        <v>14</v>
      </c>
      <c r="E399" s="2">
        <v>32.0</v>
      </c>
      <c r="F399" s="2" t="s">
        <v>42</v>
      </c>
      <c r="G399" s="2" t="s">
        <v>43</v>
      </c>
      <c r="H399" s="2">
        <v>1.0</v>
      </c>
      <c r="I399" s="2">
        <v>1.0</v>
      </c>
      <c r="J399" s="2" t="s">
        <v>36</v>
      </c>
      <c r="K399" s="2" t="s">
        <v>23</v>
      </c>
      <c r="L399" s="2">
        <v>6.0</v>
      </c>
      <c r="M399" s="2" t="s">
        <v>19</v>
      </c>
      <c r="N399" s="2">
        <v>2.0</v>
      </c>
    </row>
    <row r="400">
      <c r="A400" s="2">
        <v>399.0</v>
      </c>
      <c r="B400" s="3">
        <v>45568.0</v>
      </c>
      <c r="C400" s="3">
        <v>45570.0</v>
      </c>
      <c r="D400" s="3" t="s">
        <v>14</v>
      </c>
      <c r="E400" s="2">
        <v>2.0</v>
      </c>
      <c r="F400" s="2" t="s">
        <v>31</v>
      </c>
      <c r="G400" s="2" t="s">
        <v>69</v>
      </c>
      <c r="H400" s="2">
        <v>1.0</v>
      </c>
      <c r="I400" s="2">
        <v>1.0</v>
      </c>
      <c r="J400" s="2" t="s">
        <v>44</v>
      </c>
      <c r="K400" s="2" t="s">
        <v>39</v>
      </c>
      <c r="L400" s="2">
        <v>3.0</v>
      </c>
      <c r="M400" s="2" t="s">
        <v>24</v>
      </c>
      <c r="N400" s="2">
        <v>2.0</v>
      </c>
    </row>
    <row r="401">
      <c r="A401" s="2">
        <v>400.0</v>
      </c>
      <c r="B401" s="3">
        <v>45813.0</v>
      </c>
      <c r="C401" s="3">
        <v>45815.0</v>
      </c>
      <c r="D401" s="3" t="s">
        <v>14</v>
      </c>
      <c r="E401" s="2">
        <v>2.0</v>
      </c>
      <c r="F401" s="2" t="s">
        <v>42</v>
      </c>
      <c r="G401" s="2" t="s">
        <v>53</v>
      </c>
      <c r="H401" s="2">
        <v>2.0</v>
      </c>
      <c r="I401" s="2">
        <v>2.0</v>
      </c>
      <c r="J401" s="2" t="s">
        <v>62</v>
      </c>
      <c r="K401" s="2" t="s">
        <v>60</v>
      </c>
      <c r="L401" s="2">
        <v>5.0</v>
      </c>
      <c r="M401" s="2" t="s">
        <v>19</v>
      </c>
      <c r="N401" s="2">
        <v>3.0</v>
      </c>
    </row>
    <row r="402">
      <c r="A402" s="2">
        <v>401.0</v>
      </c>
      <c r="B402" s="3">
        <v>45630.0</v>
      </c>
      <c r="C402" s="3" t="s">
        <v>29</v>
      </c>
      <c r="D402" s="3" t="s">
        <v>52</v>
      </c>
      <c r="E402" s="2" t="s">
        <v>29</v>
      </c>
      <c r="F402" s="2" t="s">
        <v>42</v>
      </c>
      <c r="G402" s="2" t="s">
        <v>50</v>
      </c>
      <c r="H402" s="2">
        <v>2.0</v>
      </c>
      <c r="I402" s="2" t="s">
        <v>29</v>
      </c>
      <c r="J402" s="2" t="s">
        <v>40</v>
      </c>
      <c r="K402" s="2" t="s">
        <v>28</v>
      </c>
      <c r="L402" s="2">
        <v>5.0</v>
      </c>
      <c r="M402" s="2" t="s">
        <v>24</v>
      </c>
      <c r="N402" s="2">
        <v>4.0</v>
      </c>
    </row>
    <row r="403">
      <c r="A403" s="2">
        <v>402.0</v>
      </c>
      <c r="B403" s="3">
        <v>45527.0</v>
      </c>
      <c r="C403" s="3" t="s">
        <v>29</v>
      </c>
      <c r="D403" s="3" t="s">
        <v>52</v>
      </c>
      <c r="E403" s="2" t="s">
        <v>29</v>
      </c>
      <c r="F403" s="2" t="s">
        <v>20</v>
      </c>
      <c r="G403" s="2" t="s">
        <v>48</v>
      </c>
      <c r="H403" s="2">
        <v>4.0</v>
      </c>
      <c r="I403" s="2" t="s">
        <v>29</v>
      </c>
      <c r="J403" s="2" t="s">
        <v>17</v>
      </c>
      <c r="K403" s="2" t="s">
        <v>28</v>
      </c>
      <c r="L403" s="2">
        <v>2.0</v>
      </c>
      <c r="M403" s="2" t="s">
        <v>24</v>
      </c>
      <c r="N403" s="2">
        <v>1.0</v>
      </c>
    </row>
    <row r="404">
      <c r="A404" s="2">
        <v>403.0</v>
      </c>
      <c r="B404" s="3">
        <v>45500.0</v>
      </c>
      <c r="C404" s="3">
        <v>45512.0</v>
      </c>
      <c r="D404" s="3" t="s">
        <v>14</v>
      </c>
      <c r="E404" s="2">
        <v>12.0</v>
      </c>
      <c r="F404" s="2" t="s">
        <v>15</v>
      </c>
      <c r="G404" s="2" t="s">
        <v>16</v>
      </c>
      <c r="H404" s="2">
        <v>2.0</v>
      </c>
      <c r="I404" s="2">
        <v>1.0</v>
      </c>
      <c r="J404" s="2" t="s">
        <v>27</v>
      </c>
      <c r="K404" s="2" t="s">
        <v>23</v>
      </c>
      <c r="L404" s="2">
        <v>1.0</v>
      </c>
      <c r="M404" s="2" t="s">
        <v>24</v>
      </c>
      <c r="N404" s="2">
        <v>6.0</v>
      </c>
    </row>
    <row r="405">
      <c r="A405" s="2">
        <v>404.0</v>
      </c>
      <c r="B405" s="3">
        <v>45365.0</v>
      </c>
      <c r="C405" s="3">
        <v>45373.0</v>
      </c>
      <c r="D405" s="3" t="s">
        <v>14</v>
      </c>
      <c r="E405" s="2">
        <v>8.0</v>
      </c>
      <c r="F405" s="2" t="s">
        <v>25</v>
      </c>
      <c r="G405" s="2" t="s">
        <v>68</v>
      </c>
      <c r="H405" s="2">
        <v>1.0</v>
      </c>
      <c r="I405" s="2">
        <v>1.0</v>
      </c>
      <c r="J405" s="2" t="s">
        <v>44</v>
      </c>
      <c r="K405" s="2" t="s">
        <v>60</v>
      </c>
      <c r="L405" s="2">
        <v>4.0</v>
      </c>
      <c r="M405" s="2" t="s">
        <v>24</v>
      </c>
      <c r="N405" s="2">
        <v>1.0</v>
      </c>
    </row>
    <row r="406">
      <c r="A406" s="2">
        <v>405.0</v>
      </c>
      <c r="B406" s="3">
        <v>45399.0</v>
      </c>
      <c r="C406" s="3">
        <v>45413.0</v>
      </c>
      <c r="D406" s="3" t="s">
        <v>14</v>
      </c>
      <c r="E406" s="2">
        <v>14.0</v>
      </c>
      <c r="F406" s="2" t="s">
        <v>31</v>
      </c>
      <c r="G406" s="2" t="s">
        <v>54</v>
      </c>
      <c r="H406" s="2">
        <v>1.0</v>
      </c>
      <c r="I406" s="2">
        <v>1.0</v>
      </c>
      <c r="J406" s="2" t="s">
        <v>66</v>
      </c>
      <c r="K406" s="2" t="s">
        <v>60</v>
      </c>
      <c r="L406" s="2">
        <v>6.0</v>
      </c>
      <c r="M406" s="2" t="s">
        <v>19</v>
      </c>
      <c r="N406" s="2">
        <v>3.0</v>
      </c>
    </row>
    <row r="407">
      <c r="A407" s="2">
        <v>406.0</v>
      </c>
      <c r="B407" s="3">
        <v>45536.0</v>
      </c>
      <c r="C407" s="3">
        <v>45540.0</v>
      </c>
      <c r="D407" s="3" t="s">
        <v>14</v>
      </c>
      <c r="E407" s="2">
        <v>4.0</v>
      </c>
      <c r="F407" s="2" t="s">
        <v>15</v>
      </c>
      <c r="G407" s="2" t="s">
        <v>16</v>
      </c>
      <c r="H407" s="2">
        <v>4.0</v>
      </c>
      <c r="I407" s="2">
        <v>3.0</v>
      </c>
      <c r="J407" s="2" t="s">
        <v>27</v>
      </c>
      <c r="K407" s="2" t="s">
        <v>60</v>
      </c>
      <c r="L407" s="2">
        <v>4.0</v>
      </c>
      <c r="M407" s="2" t="s">
        <v>19</v>
      </c>
      <c r="N407" s="2">
        <v>5.0</v>
      </c>
    </row>
    <row r="408">
      <c r="A408" s="2">
        <v>407.0</v>
      </c>
      <c r="B408" s="3">
        <v>45461.0</v>
      </c>
      <c r="C408" s="3">
        <v>45477.0</v>
      </c>
      <c r="D408" s="3" t="s">
        <v>14</v>
      </c>
      <c r="E408" s="2">
        <v>16.0</v>
      </c>
      <c r="F408" s="2" t="s">
        <v>15</v>
      </c>
      <c r="G408" s="2" t="s">
        <v>16</v>
      </c>
      <c r="H408" s="2">
        <v>3.0</v>
      </c>
      <c r="I408" s="2">
        <v>1.0</v>
      </c>
      <c r="J408" s="2" t="s">
        <v>57</v>
      </c>
      <c r="K408" s="2" t="s">
        <v>18</v>
      </c>
      <c r="L408" s="2">
        <v>1.0</v>
      </c>
      <c r="M408" s="2" t="s">
        <v>19</v>
      </c>
      <c r="N408" s="2">
        <v>2.0</v>
      </c>
    </row>
    <row r="409">
      <c r="A409" s="2">
        <v>408.0</v>
      </c>
      <c r="B409" s="3">
        <v>45393.0</v>
      </c>
      <c r="C409" s="3">
        <v>45396.0</v>
      </c>
      <c r="D409" s="3" t="s">
        <v>14</v>
      </c>
      <c r="E409" s="2">
        <v>3.0</v>
      </c>
      <c r="F409" s="2" t="s">
        <v>15</v>
      </c>
      <c r="G409" s="2" t="s">
        <v>37</v>
      </c>
      <c r="H409" s="2">
        <v>3.0</v>
      </c>
      <c r="I409" s="2">
        <v>1.0</v>
      </c>
      <c r="J409" s="2" t="s">
        <v>57</v>
      </c>
      <c r="K409" s="2" t="s">
        <v>60</v>
      </c>
      <c r="L409" s="2">
        <v>2.0</v>
      </c>
      <c r="M409" s="2" t="s">
        <v>19</v>
      </c>
      <c r="N409" s="2">
        <v>5.0</v>
      </c>
    </row>
    <row r="410">
      <c r="A410" s="2">
        <v>409.0</v>
      </c>
      <c r="B410" s="3">
        <v>45379.0</v>
      </c>
      <c r="C410" s="3">
        <v>45390.0</v>
      </c>
      <c r="D410" s="3" t="s">
        <v>14</v>
      </c>
      <c r="E410" s="2">
        <v>11.0</v>
      </c>
      <c r="F410" s="2" t="s">
        <v>45</v>
      </c>
      <c r="G410" s="2" t="s">
        <v>56</v>
      </c>
      <c r="H410" s="2">
        <v>3.0</v>
      </c>
      <c r="I410" s="2">
        <v>2.0</v>
      </c>
      <c r="J410" s="2" t="s">
        <v>66</v>
      </c>
      <c r="K410" s="2" t="s">
        <v>34</v>
      </c>
      <c r="L410" s="2">
        <v>4.0</v>
      </c>
      <c r="M410" s="2" t="s">
        <v>24</v>
      </c>
      <c r="N410" s="2">
        <v>4.0</v>
      </c>
    </row>
    <row r="411">
      <c r="A411" s="2">
        <v>410.0</v>
      </c>
      <c r="B411" s="3">
        <v>45455.0</v>
      </c>
      <c r="C411" s="3">
        <v>45462.0</v>
      </c>
      <c r="D411" s="3" t="s">
        <v>14</v>
      </c>
      <c r="E411" s="2">
        <v>7.0</v>
      </c>
      <c r="F411" s="2" t="s">
        <v>45</v>
      </c>
      <c r="G411" s="2" t="s">
        <v>56</v>
      </c>
      <c r="H411" s="2">
        <v>2.0</v>
      </c>
      <c r="I411" s="2">
        <v>1.0</v>
      </c>
      <c r="J411" s="2" t="s">
        <v>49</v>
      </c>
      <c r="K411" s="2" t="s">
        <v>28</v>
      </c>
      <c r="L411" s="2">
        <v>5.0</v>
      </c>
      <c r="M411" s="2" t="s">
        <v>24</v>
      </c>
      <c r="N411" s="2">
        <v>6.0</v>
      </c>
    </row>
    <row r="412">
      <c r="A412" s="2">
        <v>411.0</v>
      </c>
      <c r="B412" s="3">
        <v>45709.0</v>
      </c>
      <c r="C412" s="3" t="s">
        <v>29</v>
      </c>
      <c r="D412" s="3" t="s">
        <v>30</v>
      </c>
      <c r="E412" s="2" t="s">
        <v>29</v>
      </c>
      <c r="F412" s="2" t="s">
        <v>15</v>
      </c>
      <c r="G412" s="2" t="s">
        <v>37</v>
      </c>
      <c r="H412" s="2">
        <v>2.0</v>
      </c>
      <c r="I412" s="2" t="s">
        <v>29</v>
      </c>
      <c r="J412" s="2" t="s">
        <v>66</v>
      </c>
      <c r="K412" s="2" t="s">
        <v>28</v>
      </c>
      <c r="L412" s="2">
        <v>2.0</v>
      </c>
      <c r="M412" s="2" t="s">
        <v>19</v>
      </c>
      <c r="N412" s="2">
        <v>5.0</v>
      </c>
    </row>
    <row r="413">
      <c r="A413" s="2">
        <v>412.0</v>
      </c>
      <c r="B413" s="3">
        <v>45522.0</v>
      </c>
      <c r="C413" s="3">
        <v>45565.0</v>
      </c>
      <c r="D413" s="3" t="s">
        <v>14</v>
      </c>
      <c r="E413" s="2">
        <v>43.0</v>
      </c>
      <c r="F413" s="2" t="s">
        <v>42</v>
      </c>
      <c r="G413" s="2" t="s">
        <v>53</v>
      </c>
      <c r="H413" s="2">
        <v>1.0</v>
      </c>
      <c r="I413" s="2">
        <v>1.0</v>
      </c>
      <c r="J413" s="2" t="s">
        <v>67</v>
      </c>
      <c r="K413" s="2" t="s">
        <v>23</v>
      </c>
      <c r="L413" s="2">
        <v>6.0</v>
      </c>
      <c r="M413" s="2" t="s">
        <v>24</v>
      </c>
      <c r="N413" s="2">
        <v>4.0</v>
      </c>
    </row>
    <row r="414">
      <c r="A414" s="2">
        <v>413.0</v>
      </c>
      <c r="B414" s="3">
        <v>45374.0</v>
      </c>
      <c r="C414" s="3" t="s">
        <v>29</v>
      </c>
      <c r="D414" s="3" t="s">
        <v>52</v>
      </c>
      <c r="E414" s="2" t="s">
        <v>29</v>
      </c>
      <c r="F414" s="2" t="s">
        <v>20</v>
      </c>
      <c r="G414" s="2" t="s">
        <v>48</v>
      </c>
      <c r="H414" s="2">
        <v>2.0</v>
      </c>
      <c r="I414" s="2" t="s">
        <v>29</v>
      </c>
      <c r="J414" s="2" t="s">
        <v>57</v>
      </c>
      <c r="K414" s="2" t="s">
        <v>18</v>
      </c>
      <c r="L414" s="2">
        <v>4.0</v>
      </c>
      <c r="M414" s="2" t="s">
        <v>19</v>
      </c>
      <c r="N414" s="2">
        <v>5.0</v>
      </c>
    </row>
    <row r="415">
      <c r="A415" s="2">
        <v>414.0</v>
      </c>
      <c r="B415" s="3">
        <v>45798.0</v>
      </c>
      <c r="C415" s="3">
        <v>45806.0</v>
      </c>
      <c r="D415" s="3" t="s">
        <v>14</v>
      </c>
      <c r="E415" s="2">
        <v>8.0</v>
      </c>
      <c r="F415" s="2" t="s">
        <v>20</v>
      </c>
      <c r="G415" s="2" t="s">
        <v>41</v>
      </c>
      <c r="H415" s="2">
        <v>1.0</v>
      </c>
      <c r="I415" s="2">
        <v>1.0</v>
      </c>
      <c r="J415" s="2" t="s">
        <v>44</v>
      </c>
      <c r="K415" s="2" t="s">
        <v>23</v>
      </c>
      <c r="L415" s="2">
        <v>6.0</v>
      </c>
      <c r="M415" s="2" t="s">
        <v>19</v>
      </c>
      <c r="N415" s="2">
        <v>3.0</v>
      </c>
    </row>
    <row r="416">
      <c r="A416" s="2">
        <v>415.0</v>
      </c>
      <c r="B416" s="3">
        <v>45747.0</v>
      </c>
      <c r="C416" s="3">
        <v>45754.0</v>
      </c>
      <c r="D416" s="3" t="s">
        <v>14</v>
      </c>
      <c r="E416" s="2">
        <v>7.0</v>
      </c>
      <c r="F416" s="2" t="s">
        <v>20</v>
      </c>
      <c r="G416" s="2" t="s">
        <v>21</v>
      </c>
      <c r="H416" s="2">
        <v>1.0</v>
      </c>
      <c r="I416" s="2">
        <v>1.0</v>
      </c>
      <c r="J416" s="2" t="s">
        <v>55</v>
      </c>
      <c r="K416" s="2" t="s">
        <v>18</v>
      </c>
      <c r="L416" s="2">
        <v>5.0</v>
      </c>
      <c r="M416" s="2" t="s">
        <v>19</v>
      </c>
      <c r="N416" s="2">
        <v>3.0</v>
      </c>
    </row>
    <row r="417">
      <c r="A417" s="2">
        <v>416.0</v>
      </c>
      <c r="B417" s="3">
        <v>45337.0</v>
      </c>
      <c r="C417" s="3">
        <v>45342.0</v>
      </c>
      <c r="D417" s="3" t="s">
        <v>14</v>
      </c>
      <c r="E417" s="2">
        <v>5.0</v>
      </c>
      <c r="F417" s="2" t="s">
        <v>31</v>
      </c>
      <c r="G417" s="2" t="s">
        <v>54</v>
      </c>
      <c r="H417" s="2">
        <v>4.0</v>
      </c>
      <c r="I417" s="2">
        <v>2.0</v>
      </c>
      <c r="J417" s="2" t="s">
        <v>27</v>
      </c>
      <c r="K417" s="2" t="s">
        <v>39</v>
      </c>
      <c r="L417" s="2">
        <v>3.0</v>
      </c>
      <c r="M417" s="2" t="s">
        <v>24</v>
      </c>
      <c r="N417" s="2">
        <v>2.0</v>
      </c>
    </row>
    <row r="418">
      <c r="A418" s="2">
        <v>417.0</v>
      </c>
      <c r="B418" s="3">
        <v>45488.0</v>
      </c>
      <c r="C418" s="3">
        <v>45493.0</v>
      </c>
      <c r="D418" s="3" t="s">
        <v>14</v>
      </c>
      <c r="E418" s="2">
        <v>5.0</v>
      </c>
      <c r="F418" s="2" t="s">
        <v>15</v>
      </c>
      <c r="G418" s="2" t="s">
        <v>16</v>
      </c>
      <c r="H418" s="2">
        <v>4.0</v>
      </c>
      <c r="I418" s="2">
        <v>3.0</v>
      </c>
      <c r="J418" s="2" t="s">
        <v>66</v>
      </c>
      <c r="K418" s="2" t="s">
        <v>60</v>
      </c>
      <c r="L418" s="2">
        <v>5.0</v>
      </c>
      <c r="M418" s="2" t="s">
        <v>24</v>
      </c>
      <c r="N418" s="2">
        <v>5.0</v>
      </c>
    </row>
    <row r="419">
      <c r="A419" s="2">
        <v>418.0</v>
      </c>
      <c r="B419" s="3">
        <v>45649.0</v>
      </c>
      <c r="C419" s="3">
        <v>45673.0</v>
      </c>
      <c r="D419" s="3" t="s">
        <v>14</v>
      </c>
      <c r="E419" s="2">
        <v>24.0</v>
      </c>
      <c r="F419" s="2" t="s">
        <v>20</v>
      </c>
      <c r="G419" s="2" t="s">
        <v>41</v>
      </c>
      <c r="H419" s="2">
        <v>2.0</v>
      </c>
      <c r="I419" s="2">
        <v>2.0</v>
      </c>
      <c r="J419" s="2" t="s">
        <v>66</v>
      </c>
      <c r="K419" s="2" t="s">
        <v>34</v>
      </c>
      <c r="L419" s="2">
        <v>3.0</v>
      </c>
      <c r="M419" s="2" t="s">
        <v>24</v>
      </c>
      <c r="N419" s="2">
        <v>6.0</v>
      </c>
    </row>
    <row r="420">
      <c r="A420" s="2">
        <v>419.0</v>
      </c>
      <c r="B420" s="3">
        <v>45413.0</v>
      </c>
      <c r="C420" s="3">
        <v>45428.0</v>
      </c>
      <c r="D420" s="3" t="s">
        <v>14</v>
      </c>
      <c r="E420" s="2">
        <v>15.0</v>
      </c>
      <c r="F420" s="2" t="s">
        <v>42</v>
      </c>
      <c r="G420" s="2" t="s">
        <v>65</v>
      </c>
      <c r="H420" s="2">
        <v>2.0</v>
      </c>
      <c r="I420" s="2">
        <v>2.0</v>
      </c>
      <c r="J420" s="2" t="s">
        <v>55</v>
      </c>
      <c r="K420" s="2" t="s">
        <v>28</v>
      </c>
      <c r="L420" s="2">
        <v>2.0</v>
      </c>
      <c r="M420" s="2" t="s">
        <v>24</v>
      </c>
      <c r="N420" s="2">
        <v>5.0</v>
      </c>
    </row>
    <row r="421">
      <c r="A421" s="2">
        <v>420.0</v>
      </c>
      <c r="B421" s="3">
        <v>45549.0</v>
      </c>
      <c r="C421" s="3">
        <v>45561.0</v>
      </c>
      <c r="D421" s="3" t="s">
        <v>14</v>
      </c>
      <c r="E421" s="2">
        <v>12.0</v>
      </c>
      <c r="F421" s="2" t="s">
        <v>45</v>
      </c>
      <c r="G421" s="2" t="s">
        <v>56</v>
      </c>
      <c r="H421" s="2">
        <v>2.0</v>
      </c>
      <c r="I421" s="2">
        <v>1.0</v>
      </c>
      <c r="J421" s="2" t="s">
        <v>66</v>
      </c>
      <c r="K421" s="2" t="s">
        <v>60</v>
      </c>
      <c r="L421" s="2">
        <v>3.0</v>
      </c>
      <c r="M421" s="2" t="s">
        <v>24</v>
      </c>
      <c r="N421" s="2">
        <v>4.0</v>
      </c>
    </row>
    <row r="422">
      <c r="A422" s="2">
        <v>421.0</v>
      </c>
      <c r="B422" s="3">
        <v>45552.0</v>
      </c>
      <c r="C422" s="3">
        <v>45554.0</v>
      </c>
      <c r="D422" s="3" t="s">
        <v>14</v>
      </c>
      <c r="E422" s="2">
        <v>2.0</v>
      </c>
      <c r="F422" s="2" t="s">
        <v>45</v>
      </c>
      <c r="G422" s="2" t="s">
        <v>56</v>
      </c>
      <c r="H422" s="2">
        <v>1.0</v>
      </c>
      <c r="I422" s="2">
        <v>1.0</v>
      </c>
      <c r="J422" s="2" t="s">
        <v>40</v>
      </c>
      <c r="K422" s="2" t="s">
        <v>18</v>
      </c>
      <c r="L422" s="2">
        <v>6.0</v>
      </c>
      <c r="M422" s="2" t="s">
        <v>24</v>
      </c>
      <c r="N422" s="2">
        <v>3.0</v>
      </c>
    </row>
    <row r="423">
      <c r="A423" s="2">
        <v>422.0</v>
      </c>
      <c r="B423" s="3">
        <v>45677.0</v>
      </c>
      <c r="C423" s="3">
        <v>45680.0</v>
      </c>
      <c r="D423" s="3" t="s">
        <v>14</v>
      </c>
      <c r="E423" s="2">
        <v>3.0</v>
      </c>
      <c r="F423" s="2" t="s">
        <v>25</v>
      </c>
      <c r="G423" s="2" t="s">
        <v>59</v>
      </c>
      <c r="H423" s="2">
        <v>4.0</v>
      </c>
      <c r="I423" s="2">
        <v>3.0</v>
      </c>
      <c r="J423" s="2" t="s">
        <v>57</v>
      </c>
      <c r="K423" s="2" t="s">
        <v>18</v>
      </c>
      <c r="L423" s="2">
        <v>6.0</v>
      </c>
      <c r="M423" s="2" t="s">
        <v>24</v>
      </c>
      <c r="N423" s="2">
        <v>4.0</v>
      </c>
    </row>
    <row r="424">
      <c r="A424" s="2">
        <v>423.0</v>
      </c>
      <c r="B424" s="3">
        <v>45677.0</v>
      </c>
      <c r="C424" s="3">
        <v>45720.0</v>
      </c>
      <c r="D424" s="3" t="s">
        <v>14</v>
      </c>
      <c r="E424" s="2">
        <v>43.0</v>
      </c>
      <c r="F424" s="2" t="s">
        <v>20</v>
      </c>
      <c r="G424" s="2" t="s">
        <v>41</v>
      </c>
      <c r="H424" s="2">
        <v>2.0</v>
      </c>
      <c r="I424" s="2">
        <v>2.0</v>
      </c>
      <c r="J424" s="2" t="s">
        <v>55</v>
      </c>
      <c r="K424" s="2" t="s">
        <v>28</v>
      </c>
      <c r="L424" s="2">
        <v>2.0</v>
      </c>
      <c r="M424" s="2" t="s">
        <v>24</v>
      </c>
      <c r="N424" s="2">
        <v>1.0</v>
      </c>
    </row>
    <row r="425">
      <c r="A425" s="2">
        <v>424.0</v>
      </c>
      <c r="B425" s="3">
        <v>45721.0</v>
      </c>
      <c r="C425" s="3">
        <v>45730.0</v>
      </c>
      <c r="D425" s="3" t="s">
        <v>14</v>
      </c>
      <c r="E425" s="2">
        <v>9.0</v>
      </c>
      <c r="F425" s="2" t="s">
        <v>25</v>
      </c>
      <c r="G425" s="2" t="s">
        <v>68</v>
      </c>
      <c r="H425" s="2">
        <v>3.0</v>
      </c>
      <c r="I425" s="2">
        <v>3.0</v>
      </c>
      <c r="J425" s="2" t="s">
        <v>40</v>
      </c>
      <c r="K425" s="2" t="s">
        <v>39</v>
      </c>
      <c r="L425" s="2">
        <v>6.0</v>
      </c>
      <c r="M425" s="2" t="s">
        <v>19</v>
      </c>
      <c r="N425" s="2">
        <v>1.0</v>
      </c>
    </row>
    <row r="426">
      <c r="A426" s="2">
        <v>425.0</v>
      </c>
      <c r="B426" s="3">
        <v>45504.0</v>
      </c>
      <c r="C426" s="3">
        <v>45509.0</v>
      </c>
      <c r="D426" s="3" t="s">
        <v>14</v>
      </c>
      <c r="E426" s="2">
        <v>5.0</v>
      </c>
      <c r="F426" s="2" t="s">
        <v>15</v>
      </c>
      <c r="G426" s="2" t="s">
        <v>37</v>
      </c>
      <c r="H426" s="2">
        <v>2.0</v>
      </c>
      <c r="I426" s="2">
        <v>1.0</v>
      </c>
      <c r="J426" s="2" t="s">
        <v>51</v>
      </c>
      <c r="K426" s="2" t="s">
        <v>39</v>
      </c>
      <c r="L426" s="2">
        <v>1.0</v>
      </c>
      <c r="M426" s="2" t="s">
        <v>19</v>
      </c>
      <c r="N426" s="2">
        <v>3.0</v>
      </c>
    </row>
    <row r="427">
      <c r="A427" s="2">
        <v>426.0</v>
      </c>
      <c r="B427" s="3">
        <v>45525.0</v>
      </c>
      <c r="C427" s="3" t="s">
        <v>29</v>
      </c>
      <c r="D427" s="3" t="s">
        <v>52</v>
      </c>
      <c r="E427" s="2" t="s">
        <v>29</v>
      </c>
      <c r="F427" s="2" t="s">
        <v>20</v>
      </c>
      <c r="G427" s="2" t="s">
        <v>48</v>
      </c>
      <c r="H427" s="2">
        <v>3.0</v>
      </c>
      <c r="I427" s="2" t="s">
        <v>29</v>
      </c>
      <c r="J427" s="2" t="s">
        <v>40</v>
      </c>
      <c r="K427" s="2" t="s">
        <v>39</v>
      </c>
      <c r="L427" s="2">
        <v>1.0</v>
      </c>
      <c r="M427" s="2" t="s">
        <v>19</v>
      </c>
      <c r="N427" s="2">
        <v>6.0</v>
      </c>
    </row>
    <row r="428">
      <c r="A428" s="2">
        <v>427.0</v>
      </c>
      <c r="B428" s="3">
        <v>45779.0</v>
      </c>
      <c r="C428" s="3">
        <v>45790.0</v>
      </c>
      <c r="D428" s="3" t="s">
        <v>14</v>
      </c>
      <c r="E428" s="2">
        <v>11.0</v>
      </c>
      <c r="F428" s="2" t="s">
        <v>31</v>
      </c>
      <c r="G428" s="2" t="s">
        <v>69</v>
      </c>
      <c r="H428" s="2">
        <v>3.0</v>
      </c>
      <c r="I428" s="2">
        <v>2.0</v>
      </c>
      <c r="J428" s="2" t="s">
        <v>63</v>
      </c>
      <c r="K428" s="2" t="s">
        <v>34</v>
      </c>
      <c r="L428" s="2">
        <v>3.0</v>
      </c>
      <c r="M428" s="2" t="s">
        <v>24</v>
      </c>
      <c r="N428" s="2">
        <v>6.0</v>
      </c>
    </row>
    <row r="429">
      <c r="A429" s="2">
        <v>428.0</v>
      </c>
      <c r="B429" s="3">
        <v>45533.0</v>
      </c>
      <c r="C429" s="3">
        <v>45539.0</v>
      </c>
      <c r="D429" s="3" t="s">
        <v>14</v>
      </c>
      <c r="E429" s="2">
        <v>6.0</v>
      </c>
      <c r="F429" s="2" t="s">
        <v>20</v>
      </c>
      <c r="G429" s="2" t="s">
        <v>48</v>
      </c>
      <c r="H429" s="2">
        <v>1.0</v>
      </c>
      <c r="I429" s="2">
        <v>1.0</v>
      </c>
      <c r="J429" s="2" t="s">
        <v>57</v>
      </c>
      <c r="K429" s="2" t="s">
        <v>23</v>
      </c>
      <c r="L429" s="2">
        <v>3.0</v>
      </c>
      <c r="M429" s="2" t="s">
        <v>24</v>
      </c>
      <c r="N429" s="2">
        <v>5.0</v>
      </c>
    </row>
    <row r="430">
      <c r="A430" s="2">
        <v>429.0</v>
      </c>
      <c r="B430" s="3">
        <v>45454.0</v>
      </c>
      <c r="C430" s="3">
        <v>45468.0</v>
      </c>
      <c r="D430" s="3" t="s">
        <v>14</v>
      </c>
      <c r="E430" s="2">
        <v>14.0</v>
      </c>
      <c r="F430" s="2" t="s">
        <v>25</v>
      </c>
      <c r="G430" s="2" t="s">
        <v>26</v>
      </c>
      <c r="H430" s="2">
        <v>1.0</v>
      </c>
      <c r="I430" s="2">
        <v>1.0</v>
      </c>
      <c r="J430" s="2" t="s">
        <v>38</v>
      </c>
      <c r="K430" s="2" t="s">
        <v>23</v>
      </c>
      <c r="L430" s="2">
        <v>4.0</v>
      </c>
      <c r="M430" s="2" t="s">
        <v>19</v>
      </c>
      <c r="N430" s="2">
        <v>5.0</v>
      </c>
    </row>
    <row r="431">
      <c r="A431" s="2">
        <v>430.0</v>
      </c>
      <c r="B431" s="3">
        <v>45344.0</v>
      </c>
      <c r="C431" s="3" t="s">
        <v>29</v>
      </c>
      <c r="D431" s="3" t="s">
        <v>52</v>
      </c>
      <c r="E431" s="2" t="s">
        <v>29</v>
      </c>
      <c r="F431" s="2" t="s">
        <v>45</v>
      </c>
      <c r="G431" s="2" t="s">
        <v>46</v>
      </c>
      <c r="H431" s="2">
        <v>3.0</v>
      </c>
      <c r="I431" s="2" t="s">
        <v>29</v>
      </c>
      <c r="J431" s="2" t="s">
        <v>66</v>
      </c>
      <c r="K431" s="2" t="s">
        <v>28</v>
      </c>
      <c r="L431" s="2">
        <v>5.0</v>
      </c>
      <c r="M431" s="2" t="s">
        <v>19</v>
      </c>
      <c r="N431" s="2">
        <v>2.0</v>
      </c>
    </row>
    <row r="432">
      <c r="A432" s="2">
        <v>431.0</v>
      </c>
      <c r="B432" s="3">
        <v>45472.0</v>
      </c>
      <c r="C432" s="3">
        <v>45486.0</v>
      </c>
      <c r="D432" s="3" t="s">
        <v>14</v>
      </c>
      <c r="E432" s="2">
        <v>14.0</v>
      </c>
      <c r="F432" s="2" t="s">
        <v>31</v>
      </c>
      <c r="G432" s="2" t="s">
        <v>54</v>
      </c>
      <c r="H432" s="2">
        <v>1.0</v>
      </c>
      <c r="I432" s="2">
        <v>1.0</v>
      </c>
      <c r="J432" s="2" t="s">
        <v>27</v>
      </c>
      <c r="K432" s="2" t="s">
        <v>18</v>
      </c>
      <c r="L432" s="2">
        <v>1.0</v>
      </c>
      <c r="M432" s="2" t="s">
        <v>19</v>
      </c>
      <c r="N432" s="2">
        <v>4.0</v>
      </c>
    </row>
    <row r="433">
      <c r="A433" s="2">
        <v>432.0</v>
      </c>
      <c r="B433" s="3">
        <v>45582.0</v>
      </c>
      <c r="C433" s="3" t="s">
        <v>29</v>
      </c>
      <c r="D433" s="3" t="s">
        <v>30</v>
      </c>
      <c r="E433" s="2" t="s">
        <v>29</v>
      </c>
      <c r="F433" s="2" t="s">
        <v>31</v>
      </c>
      <c r="G433" s="2" t="s">
        <v>69</v>
      </c>
      <c r="H433" s="2">
        <v>3.0</v>
      </c>
      <c r="I433" s="2" t="s">
        <v>29</v>
      </c>
      <c r="J433" s="2" t="s">
        <v>47</v>
      </c>
      <c r="K433" s="2" t="s">
        <v>28</v>
      </c>
      <c r="L433" s="2">
        <v>4.0</v>
      </c>
      <c r="M433" s="2" t="s">
        <v>19</v>
      </c>
      <c r="N433" s="2">
        <v>4.0</v>
      </c>
    </row>
    <row r="434">
      <c r="A434" s="2">
        <v>433.0</v>
      </c>
      <c r="B434" s="3">
        <v>45737.0</v>
      </c>
      <c r="C434" s="3" t="s">
        <v>29</v>
      </c>
      <c r="D434" s="3" t="s">
        <v>52</v>
      </c>
      <c r="E434" s="2" t="s">
        <v>29</v>
      </c>
      <c r="F434" s="2" t="s">
        <v>42</v>
      </c>
      <c r="G434" s="2" t="s">
        <v>65</v>
      </c>
      <c r="H434" s="2">
        <v>1.0</v>
      </c>
      <c r="I434" s="2" t="s">
        <v>29</v>
      </c>
      <c r="J434" s="2" t="s">
        <v>40</v>
      </c>
      <c r="K434" s="2" t="s">
        <v>28</v>
      </c>
      <c r="L434" s="2">
        <v>5.0</v>
      </c>
      <c r="M434" s="2" t="s">
        <v>19</v>
      </c>
      <c r="N434" s="2">
        <v>6.0</v>
      </c>
    </row>
    <row r="435">
      <c r="A435" s="2">
        <v>434.0</v>
      </c>
      <c r="B435" s="3">
        <v>45348.0</v>
      </c>
      <c r="C435" s="3">
        <v>45365.0</v>
      </c>
      <c r="D435" s="3" t="s">
        <v>14</v>
      </c>
      <c r="E435" s="2">
        <v>17.0</v>
      </c>
      <c r="F435" s="2" t="s">
        <v>15</v>
      </c>
      <c r="G435" s="2" t="s">
        <v>16</v>
      </c>
      <c r="H435" s="2">
        <v>2.0</v>
      </c>
      <c r="I435" s="2">
        <v>2.0</v>
      </c>
      <c r="J435" s="2" t="s">
        <v>33</v>
      </c>
      <c r="K435" s="2" t="s">
        <v>28</v>
      </c>
      <c r="L435" s="2">
        <v>2.0</v>
      </c>
      <c r="M435" s="2" t="s">
        <v>24</v>
      </c>
      <c r="N435" s="2">
        <v>3.0</v>
      </c>
    </row>
    <row r="436">
      <c r="A436" s="2">
        <v>435.0</v>
      </c>
      <c r="B436" s="3">
        <v>45758.0</v>
      </c>
      <c r="C436" s="3" t="s">
        <v>29</v>
      </c>
      <c r="D436" s="3" t="s">
        <v>52</v>
      </c>
      <c r="E436" s="2" t="s">
        <v>29</v>
      </c>
      <c r="F436" s="2" t="s">
        <v>25</v>
      </c>
      <c r="G436" s="2" t="s">
        <v>68</v>
      </c>
      <c r="H436" s="2">
        <v>1.0</v>
      </c>
      <c r="I436" s="2" t="s">
        <v>29</v>
      </c>
      <c r="J436" s="2" t="s">
        <v>57</v>
      </c>
      <c r="K436" s="2" t="s">
        <v>39</v>
      </c>
      <c r="L436" s="2">
        <v>1.0</v>
      </c>
      <c r="M436" s="2" t="s">
        <v>24</v>
      </c>
      <c r="N436" s="2">
        <v>6.0</v>
      </c>
    </row>
    <row r="437">
      <c r="A437" s="2">
        <v>436.0</v>
      </c>
      <c r="B437" s="3">
        <v>45826.0</v>
      </c>
      <c r="C437" s="3">
        <v>45835.0</v>
      </c>
      <c r="D437" s="3" t="s">
        <v>14</v>
      </c>
      <c r="E437" s="2">
        <v>9.0</v>
      </c>
      <c r="F437" s="2" t="s">
        <v>25</v>
      </c>
      <c r="G437" s="2" t="s">
        <v>59</v>
      </c>
      <c r="H437" s="2">
        <v>2.0</v>
      </c>
      <c r="I437" s="2">
        <v>2.0</v>
      </c>
      <c r="J437" s="2" t="s">
        <v>64</v>
      </c>
      <c r="K437" s="2" t="s">
        <v>28</v>
      </c>
      <c r="L437" s="2">
        <v>2.0</v>
      </c>
      <c r="M437" s="2" t="s">
        <v>24</v>
      </c>
      <c r="N437" s="2">
        <v>2.0</v>
      </c>
    </row>
    <row r="438">
      <c r="A438" s="2">
        <v>437.0</v>
      </c>
      <c r="B438" s="3">
        <v>45830.0</v>
      </c>
      <c r="C438" s="3">
        <v>45842.0</v>
      </c>
      <c r="D438" s="3" t="s">
        <v>14</v>
      </c>
      <c r="E438" s="2">
        <v>12.0</v>
      </c>
      <c r="F438" s="2" t="s">
        <v>20</v>
      </c>
      <c r="G438" s="2" t="s">
        <v>41</v>
      </c>
      <c r="H438" s="2">
        <v>2.0</v>
      </c>
      <c r="I438" s="2">
        <v>2.0</v>
      </c>
      <c r="J438" s="2" t="s">
        <v>47</v>
      </c>
      <c r="K438" s="2" t="s">
        <v>39</v>
      </c>
      <c r="L438" s="2">
        <v>5.0</v>
      </c>
      <c r="M438" s="2" t="s">
        <v>24</v>
      </c>
      <c r="N438" s="2">
        <v>5.0</v>
      </c>
    </row>
    <row r="439">
      <c r="A439" s="2">
        <v>438.0</v>
      </c>
      <c r="B439" s="3">
        <v>45625.0</v>
      </c>
      <c r="C439" s="3">
        <v>45670.0</v>
      </c>
      <c r="D439" s="3" t="s">
        <v>14</v>
      </c>
      <c r="E439" s="2">
        <v>45.0</v>
      </c>
      <c r="F439" s="2" t="s">
        <v>42</v>
      </c>
      <c r="G439" s="2" t="s">
        <v>53</v>
      </c>
      <c r="H439" s="2">
        <v>3.0</v>
      </c>
      <c r="I439" s="2">
        <v>1.0</v>
      </c>
      <c r="J439" s="2" t="s">
        <v>36</v>
      </c>
      <c r="K439" s="2" t="s">
        <v>39</v>
      </c>
      <c r="L439" s="2">
        <v>4.0</v>
      </c>
      <c r="M439" s="2" t="s">
        <v>24</v>
      </c>
      <c r="N439" s="2">
        <v>6.0</v>
      </c>
    </row>
    <row r="440">
      <c r="A440" s="2">
        <v>439.0</v>
      </c>
      <c r="B440" s="3">
        <v>45545.0</v>
      </c>
      <c r="C440" s="3">
        <v>45547.0</v>
      </c>
      <c r="D440" s="3" t="s">
        <v>14</v>
      </c>
      <c r="E440" s="2">
        <v>2.0</v>
      </c>
      <c r="F440" s="2" t="s">
        <v>20</v>
      </c>
      <c r="G440" s="2" t="s">
        <v>48</v>
      </c>
      <c r="H440" s="2">
        <v>1.0</v>
      </c>
      <c r="I440" s="2">
        <v>1.0</v>
      </c>
      <c r="J440" s="2" t="s">
        <v>38</v>
      </c>
      <c r="K440" s="2" t="s">
        <v>28</v>
      </c>
      <c r="L440" s="2">
        <v>5.0</v>
      </c>
      <c r="M440" s="2" t="s">
        <v>24</v>
      </c>
      <c r="N440" s="2">
        <v>2.0</v>
      </c>
    </row>
    <row r="441">
      <c r="A441" s="2">
        <v>440.0</v>
      </c>
      <c r="B441" s="3">
        <v>45304.0</v>
      </c>
      <c r="C441" s="3">
        <v>45305.0</v>
      </c>
      <c r="D441" s="3" t="s">
        <v>14</v>
      </c>
      <c r="E441" s="2">
        <v>1.0</v>
      </c>
      <c r="F441" s="2" t="s">
        <v>20</v>
      </c>
      <c r="G441" s="2" t="s">
        <v>21</v>
      </c>
      <c r="H441" s="2">
        <v>3.0</v>
      </c>
      <c r="I441" s="2">
        <v>1.0</v>
      </c>
      <c r="J441" s="2" t="s">
        <v>33</v>
      </c>
      <c r="K441" s="2" t="s">
        <v>60</v>
      </c>
      <c r="L441" s="2">
        <v>5.0</v>
      </c>
      <c r="M441" s="2" t="s">
        <v>24</v>
      </c>
      <c r="N441" s="2">
        <v>5.0</v>
      </c>
    </row>
    <row r="442">
      <c r="A442" s="2">
        <v>441.0</v>
      </c>
      <c r="B442" s="3">
        <v>45324.0</v>
      </c>
      <c r="C442" s="3">
        <v>45325.0</v>
      </c>
      <c r="D442" s="3" t="s">
        <v>14</v>
      </c>
      <c r="E442" s="2">
        <v>1.0</v>
      </c>
      <c r="F442" s="2" t="s">
        <v>42</v>
      </c>
      <c r="G442" s="2" t="s">
        <v>50</v>
      </c>
      <c r="H442" s="2">
        <v>1.0</v>
      </c>
      <c r="I442" s="2">
        <v>1.0</v>
      </c>
      <c r="J442" s="2" t="s">
        <v>67</v>
      </c>
      <c r="K442" s="2" t="s">
        <v>23</v>
      </c>
      <c r="L442" s="2">
        <v>1.0</v>
      </c>
      <c r="M442" s="2" t="s">
        <v>24</v>
      </c>
      <c r="N442" s="2">
        <v>4.0</v>
      </c>
    </row>
    <row r="443">
      <c r="A443" s="2">
        <v>442.0</v>
      </c>
      <c r="B443" s="3">
        <v>45315.0</v>
      </c>
      <c r="C443" s="3">
        <v>45325.0</v>
      </c>
      <c r="D443" s="3" t="s">
        <v>14</v>
      </c>
      <c r="E443" s="2">
        <v>10.0</v>
      </c>
      <c r="F443" s="2" t="s">
        <v>20</v>
      </c>
      <c r="G443" s="2" t="s">
        <v>48</v>
      </c>
      <c r="H443" s="2">
        <v>3.0</v>
      </c>
      <c r="I443" s="2">
        <v>3.0</v>
      </c>
      <c r="J443" s="2" t="s">
        <v>66</v>
      </c>
      <c r="K443" s="2" t="s">
        <v>34</v>
      </c>
      <c r="L443" s="2">
        <v>6.0</v>
      </c>
      <c r="M443" s="2" t="s">
        <v>19</v>
      </c>
      <c r="N443" s="2">
        <v>4.0</v>
      </c>
    </row>
    <row r="444">
      <c r="A444" s="2">
        <v>443.0</v>
      </c>
      <c r="B444" s="3">
        <v>45513.0</v>
      </c>
      <c r="C444" s="3" t="s">
        <v>29</v>
      </c>
      <c r="D444" s="3" t="s">
        <v>52</v>
      </c>
      <c r="E444" s="2" t="s">
        <v>29</v>
      </c>
      <c r="F444" s="2" t="s">
        <v>31</v>
      </c>
      <c r="G444" s="2" t="s">
        <v>54</v>
      </c>
      <c r="H444" s="2">
        <v>1.0</v>
      </c>
      <c r="I444" s="2" t="s">
        <v>29</v>
      </c>
      <c r="J444" s="2" t="s">
        <v>33</v>
      </c>
      <c r="K444" s="2" t="s">
        <v>34</v>
      </c>
      <c r="L444" s="2">
        <v>5.0</v>
      </c>
      <c r="M444" s="2" t="s">
        <v>24</v>
      </c>
      <c r="N444" s="2">
        <v>4.0</v>
      </c>
    </row>
    <row r="445">
      <c r="A445" s="2">
        <v>444.0</v>
      </c>
      <c r="B445" s="3">
        <v>45391.0</v>
      </c>
      <c r="C445" s="3">
        <v>45401.0</v>
      </c>
      <c r="D445" s="3" t="s">
        <v>14</v>
      </c>
      <c r="E445" s="2">
        <v>10.0</v>
      </c>
      <c r="F445" s="2" t="s">
        <v>20</v>
      </c>
      <c r="G445" s="2" t="s">
        <v>48</v>
      </c>
      <c r="H445" s="2">
        <v>2.0</v>
      </c>
      <c r="I445" s="2">
        <v>1.0</v>
      </c>
      <c r="J445" s="2" t="s">
        <v>64</v>
      </c>
      <c r="K445" s="2" t="s">
        <v>28</v>
      </c>
      <c r="L445" s="2">
        <v>1.0</v>
      </c>
      <c r="M445" s="2" t="s">
        <v>19</v>
      </c>
      <c r="N445" s="2">
        <v>4.0</v>
      </c>
    </row>
    <row r="446">
      <c r="A446" s="2">
        <v>445.0</v>
      </c>
      <c r="B446" s="3">
        <v>45504.0</v>
      </c>
      <c r="C446" s="3">
        <v>45519.0</v>
      </c>
      <c r="D446" s="3" t="s">
        <v>14</v>
      </c>
      <c r="E446" s="2">
        <v>15.0</v>
      </c>
      <c r="F446" s="2" t="s">
        <v>20</v>
      </c>
      <c r="G446" s="2" t="s">
        <v>41</v>
      </c>
      <c r="H446" s="2">
        <v>4.0</v>
      </c>
      <c r="I446" s="2">
        <v>4.0</v>
      </c>
      <c r="J446" s="2" t="s">
        <v>36</v>
      </c>
      <c r="K446" s="2" t="s">
        <v>34</v>
      </c>
      <c r="L446" s="2">
        <v>6.0</v>
      </c>
      <c r="M446" s="2" t="s">
        <v>24</v>
      </c>
      <c r="N446" s="2">
        <v>5.0</v>
      </c>
    </row>
    <row r="447">
      <c r="A447" s="2">
        <v>446.0</v>
      </c>
      <c r="B447" s="3">
        <v>45682.0</v>
      </c>
      <c r="C447" s="3">
        <v>45687.0</v>
      </c>
      <c r="D447" s="3" t="s">
        <v>14</v>
      </c>
      <c r="E447" s="2">
        <v>5.0</v>
      </c>
      <c r="F447" s="2" t="s">
        <v>45</v>
      </c>
      <c r="G447" s="2" t="s">
        <v>46</v>
      </c>
      <c r="H447" s="2">
        <v>1.0</v>
      </c>
      <c r="I447" s="2">
        <v>1.0</v>
      </c>
      <c r="J447" s="2" t="s">
        <v>22</v>
      </c>
      <c r="K447" s="2" t="s">
        <v>18</v>
      </c>
      <c r="L447" s="2">
        <v>3.0</v>
      </c>
      <c r="M447" s="2" t="s">
        <v>24</v>
      </c>
      <c r="N447" s="2">
        <v>6.0</v>
      </c>
    </row>
    <row r="448">
      <c r="A448" s="2">
        <v>447.0</v>
      </c>
      <c r="B448" s="3">
        <v>45377.0</v>
      </c>
      <c r="C448" s="3">
        <v>45414.0</v>
      </c>
      <c r="D448" s="3" t="s">
        <v>14</v>
      </c>
      <c r="E448" s="2">
        <v>37.0</v>
      </c>
      <c r="F448" s="2" t="s">
        <v>31</v>
      </c>
      <c r="G448" s="2" t="s">
        <v>54</v>
      </c>
      <c r="H448" s="2">
        <v>3.0</v>
      </c>
      <c r="I448" s="2">
        <v>3.0</v>
      </c>
      <c r="J448" s="2" t="s">
        <v>38</v>
      </c>
      <c r="K448" s="2" t="s">
        <v>34</v>
      </c>
      <c r="L448" s="2">
        <v>4.0</v>
      </c>
      <c r="M448" s="2" t="s">
        <v>19</v>
      </c>
      <c r="N448" s="2">
        <v>3.0</v>
      </c>
    </row>
    <row r="449">
      <c r="A449" s="2">
        <v>448.0</v>
      </c>
      <c r="B449" s="3">
        <v>45758.0</v>
      </c>
      <c r="C449" s="3">
        <v>45765.0</v>
      </c>
      <c r="D449" s="3" t="s">
        <v>14</v>
      </c>
      <c r="E449" s="2">
        <v>7.0</v>
      </c>
      <c r="F449" s="2" t="s">
        <v>25</v>
      </c>
      <c r="G449" s="2" t="s">
        <v>59</v>
      </c>
      <c r="H449" s="2">
        <v>3.0</v>
      </c>
      <c r="I449" s="2">
        <v>2.0</v>
      </c>
      <c r="J449" s="2" t="s">
        <v>51</v>
      </c>
      <c r="K449" s="2" t="s">
        <v>34</v>
      </c>
      <c r="L449" s="2">
        <v>6.0</v>
      </c>
      <c r="M449" s="2" t="s">
        <v>24</v>
      </c>
      <c r="N449" s="2">
        <v>2.0</v>
      </c>
    </row>
    <row r="450">
      <c r="A450" s="2">
        <v>449.0</v>
      </c>
      <c r="B450" s="3">
        <v>45761.0</v>
      </c>
      <c r="C450" s="3">
        <v>45765.0</v>
      </c>
      <c r="D450" s="3" t="s">
        <v>14</v>
      </c>
      <c r="E450" s="2">
        <v>4.0</v>
      </c>
      <c r="F450" s="2" t="s">
        <v>15</v>
      </c>
      <c r="G450" s="2" t="s">
        <v>16</v>
      </c>
      <c r="H450" s="2">
        <v>2.0</v>
      </c>
      <c r="I450" s="2">
        <v>2.0</v>
      </c>
      <c r="J450" s="2" t="s">
        <v>44</v>
      </c>
      <c r="K450" s="2" t="s">
        <v>18</v>
      </c>
      <c r="L450" s="2">
        <v>6.0</v>
      </c>
      <c r="M450" s="2" t="s">
        <v>24</v>
      </c>
      <c r="N450" s="2">
        <v>4.0</v>
      </c>
    </row>
    <row r="451">
      <c r="A451" s="2">
        <v>450.0</v>
      </c>
      <c r="B451" s="3">
        <v>45782.0</v>
      </c>
      <c r="C451" s="3">
        <v>45788.0</v>
      </c>
      <c r="D451" s="3" t="s">
        <v>14</v>
      </c>
      <c r="E451" s="2">
        <v>6.0</v>
      </c>
      <c r="F451" s="2" t="s">
        <v>20</v>
      </c>
      <c r="G451" s="2" t="s">
        <v>41</v>
      </c>
      <c r="H451" s="2">
        <v>3.0</v>
      </c>
      <c r="I451" s="2">
        <v>2.0</v>
      </c>
      <c r="J451" s="2" t="s">
        <v>63</v>
      </c>
      <c r="K451" s="2" t="s">
        <v>60</v>
      </c>
      <c r="L451" s="2">
        <v>6.0</v>
      </c>
      <c r="M451" s="2" t="s">
        <v>24</v>
      </c>
      <c r="N451" s="2">
        <v>3.0</v>
      </c>
    </row>
    <row r="452">
      <c r="A452" s="2">
        <v>451.0</v>
      </c>
      <c r="B452" s="3">
        <v>45391.0</v>
      </c>
      <c r="C452" s="3">
        <v>45395.0</v>
      </c>
      <c r="D452" s="3" t="s">
        <v>14</v>
      </c>
      <c r="E452" s="2">
        <v>4.0</v>
      </c>
      <c r="F452" s="2" t="s">
        <v>25</v>
      </c>
      <c r="G452" s="2" t="s">
        <v>61</v>
      </c>
      <c r="H452" s="2">
        <v>4.0</v>
      </c>
      <c r="I452" s="2">
        <v>3.0</v>
      </c>
      <c r="J452" s="2" t="s">
        <v>33</v>
      </c>
      <c r="K452" s="2" t="s">
        <v>18</v>
      </c>
      <c r="L452" s="2">
        <v>1.0</v>
      </c>
      <c r="M452" s="2" t="s">
        <v>24</v>
      </c>
      <c r="N452" s="2">
        <v>5.0</v>
      </c>
    </row>
    <row r="453">
      <c r="A453" s="2">
        <v>452.0</v>
      </c>
      <c r="B453" s="3">
        <v>45480.0</v>
      </c>
      <c r="C453" s="3">
        <v>45484.0</v>
      </c>
      <c r="D453" s="3" t="s">
        <v>14</v>
      </c>
      <c r="E453" s="2">
        <v>4.0</v>
      </c>
      <c r="F453" s="2" t="s">
        <v>45</v>
      </c>
      <c r="G453" s="2" t="s">
        <v>46</v>
      </c>
      <c r="H453" s="2">
        <v>4.0</v>
      </c>
      <c r="I453" s="2">
        <v>1.0</v>
      </c>
      <c r="J453" s="2" t="s">
        <v>67</v>
      </c>
      <c r="K453" s="2" t="s">
        <v>34</v>
      </c>
      <c r="L453" s="2">
        <v>1.0</v>
      </c>
      <c r="M453" s="2" t="s">
        <v>19</v>
      </c>
      <c r="N453" s="2">
        <v>6.0</v>
      </c>
    </row>
    <row r="454">
      <c r="A454" s="2">
        <v>453.0</v>
      </c>
      <c r="B454" s="3">
        <v>45575.0</v>
      </c>
      <c r="C454" s="3">
        <v>45577.0</v>
      </c>
      <c r="D454" s="3" t="s">
        <v>14</v>
      </c>
      <c r="E454" s="2">
        <v>2.0</v>
      </c>
      <c r="F454" s="2" t="s">
        <v>45</v>
      </c>
      <c r="G454" s="2" t="s">
        <v>70</v>
      </c>
      <c r="H454" s="2">
        <v>2.0</v>
      </c>
      <c r="I454" s="2">
        <v>2.0</v>
      </c>
      <c r="J454" s="2" t="s">
        <v>64</v>
      </c>
      <c r="K454" s="2" t="s">
        <v>18</v>
      </c>
      <c r="L454" s="2">
        <v>2.0</v>
      </c>
      <c r="M454" s="2" t="s">
        <v>19</v>
      </c>
      <c r="N454" s="2">
        <v>6.0</v>
      </c>
    </row>
    <row r="455">
      <c r="A455" s="2">
        <v>454.0</v>
      </c>
      <c r="B455" s="3">
        <v>45719.0</v>
      </c>
      <c r="C455" s="3">
        <v>45721.0</v>
      </c>
      <c r="D455" s="3" t="s">
        <v>14</v>
      </c>
      <c r="E455" s="2">
        <v>2.0</v>
      </c>
      <c r="F455" s="2" t="s">
        <v>45</v>
      </c>
      <c r="G455" s="2" t="s">
        <v>56</v>
      </c>
      <c r="H455" s="2">
        <v>4.0</v>
      </c>
      <c r="I455" s="2">
        <v>2.0</v>
      </c>
      <c r="J455" s="2" t="s">
        <v>58</v>
      </c>
      <c r="K455" s="2" t="s">
        <v>39</v>
      </c>
      <c r="L455" s="2">
        <v>6.0</v>
      </c>
      <c r="M455" s="2" t="s">
        <v>24</v>
      </c>
      <c r="N455" s="2">
        <v>6.0</v>
      </c>
    </row>
    <row r="456">
      <c r="A456" s="2">
        <v>455.0</v>
      </c>
      <c r="B456" s="3">
        <v>45497.0</v>
      </c>
      <c r="C456" s="3">
        <v>45508.0</v>
      </c>
      <c r="D456" s="3" t="s">
        <v>14</v>
      </c>
      <c r="E456" s="2">
        <v>11.0</v>
      </c>
      <c r="F456" s="2" t="s">
        <v>45</v>
      </c>
      <c r="G456" s="2" t="s">
        <v>46</v>
      </c>
      <c r="H456" s="2">
        <v>4.0</v>
      </c>
      <c r="I456" s="2">
        <v>1.0</v>
      </c>
      <c r="J456" s="2" t="s">
        <v>22</v>
      </c>
      <c r="K456" s="2" t="s">
        <v>34</v>
      </c>
      <c r="L456" s="2">
        <v>3.0</v>
      </c>
      <c r="M456" s="2" t="s">
        <v>19</v>
      </c>
      <c r="N456" s="2">
        <v>6.0</v>
      </c>
    </row>
    <row r="457">
      <c r="A457" s="2">
        <v>456.0</v>
      </c>
      <c r="B457" s="3">
        <v>45684.0</v>
      </c>
      <c r="C457" s="3" t="s">
        <v>29</v>
      </c>
      <c r="D457" s="3" t="s">
        <v>52</v>
      </c>
      <c r="E457" s="2" t="s">
        <v>29</v>
      </c>
      <c r="F457" s="2" t="s">
        <v>15</v>
      </c>
      <c r="G457" s="2" t="s">
        <v>16</v>
      </c>
      <c r="H457" s="2">
        <v>1.0</v>
      </c>
      <c r="I457" s="2" t="s">
        <v>29</v>
      </c>
      <c r="J457" s="2" t="s">
        <v>36</v>
      </c>
      <c r="K457" s="2" t="s">
        <v>60</v>
      </c>
      <c r="L457" s="2">
        <v>1.0</v>
      </c>
      <c r="M457" s="2" t="s">
        <v>24</v>
      </c>
      <c r="N457" s="2">
        <v>4.0</v>
      </c>
    </row>
    <row r="458">
      <c r="A458" s="2">
        <v>457.0</v>
      </c>
      <c r="B458" s="3">
        <v>45546.0</v>
      </c>
      <c r="C458" s="3">
        <v>45582.0</v>
      </c>
      <c r="D458" s="3" t="s">
        <v>14</v>
      </c>
      <c r="E458" s="2">
        <v>36.0</v>
      </c>
      <c r="F458" s="2" t="s">
        <v>25</v>
      </c>
      <c r="G458" s="2" t="s">
        <v>26</v>
      </c>
      <c r="H458" s="2">
        <v>4.0</v>
      </c>
      <c r="I458" s="2">
        <v>1.0</v>
      </c>
      <c r="J458" s="2" t="s">
        <v>64</v>
      </c>
      <c r="K458" s="2" t="s">
        <v>23</v>
      </c>
      <c r="L458" s="2">
        <v>1.0</v>
      </c>
      <c r="M458" s="2" t="s">
        <v>24</v>
      </c>
      <c r="N458" s="2">
        <v>6.0</v>
      </c>
    </row>
    <row r="459">
      <c r="A459" s="2">
        <v>458.0</v>
      </c>
      <c r="B459" s="3">
        <v>45614.0</v>
      </c>
      <c r="C459" s="3">
        <v>45638.0</v>
      </c>
      <c r="D459" s="3" t="s">
        <v>14</v>
      </c>
      <c r="E459" s="2">
        <v>24.0</v>
      </c>
      <c r="F459" s="2" t="s">
        <v>42</v>
      </c>
      <c r="G459" s="2" t="s">
        <v>43</v>
      </c>
      <c r="H459" s="2">
        <v>2.0</v>
      </c>
      <c r="I459" s="2">
        <v>1.0</v>
      </c>
      <c r="J459" s="2" t="s">
        <v>66</v>
      </c>
      <c r="K459" s="2" t="s">
        <v>34</v>
      </c>
      <c r="L459" s="2">
        <v>5.0</v>
      </c>
      <c r="M459" s="2" t="s">
        <v>19</v>
      </c>
      <c r="N459" s="2">
        <v>4.0</v>
      </c>
    </row>
    <row r="460">
      <c r="A460" s="2">
        <v>459.0</v>
      </c>
      <c r="B460" s="3">
        <v>45578.0</v>
      </c>
      <c r="C460" s="3">
        <v>45589.0</v>
      </c>
      <c r="D460" s="3" t="s">
        <v>14</v>
      </c>
      <c r="E460" s="2">
        <v>11.0</v>
      </c>
      <c r="F460" s="2" t="s">
        <v>15</v>
      </c>
      <c r="G460" s="2" t="s">
        <v>37</v>
      </c>
      <c r="H460" s="2">
        <v>2.0</v>
      </c>
      <c r="I460" s="2">
        <v>1.0</v>
      </c>
      <c r="J460" s="2" t="s">
        <v>47</v>
      </c>
      <c r="K460" s="2" t="s">
        <v>23</v>
      </c>
      <c r="L460" s="2">
        <v>4.0</v>
      </c>
      <c r="M460" s="2" t="s">
        <v>24</v>
      </c>
      <c r="N460" s="2">
        <v>6.0</v>
      </c>
    </row>
    <row r="461">
      <c r="A461" s="2">
        <v>460.0</v>
      </c>
      <c r="B461" s="3">
        <v>45601.0</v>
      </c>
      <c r="C461" s="3" t="s">
        <v>29</v>
      </c>
      <c r="D461" s="3" t="s">
        <v>52</v>
      </c>
      <c r="E461" s="2" t="s">
        <v>29</v>
      </c>
      <c r="F461" s="2" t="s">
        <v>42</v>
      </c>
      <c r="G461" s="2" t="s">
        <v>50</v>
      </c>
      <c r="H461" s="2">
        <v>1.0</v>
      </c>
      <c r="I461" s="2" t="s">
        <v>29</v>
      </c>
      <c r="J461" s="2" t="s">
        <v>27</v>
      </c>
      <c r="K461" s="2" t="s">
        <v>23</v>
      </c>
      <c r="L461" s="2">
        <v>1.0</v>
      </c>
      <c r="M461" s="2" t="s">
        <v>24</v>
      </c>
      <c r="N461" s="2">
        <v>5.0</v>
      </c>
    </row>
    <row r="462">
      <c r="A462" s="2">
        <v>461.0</v>
      </c>
      <c r="B462" s="3">
        <v>45545.0</v>
      </c>
      <c r="C462" s="3">
        <v>45552.0</v>
      </c>
      <c r="D462" s="3" t="s">
        <v>14</v>
      </c>
      <c r="E462" s="2">
        <v>7.0</v>
      </c>
      <c r="F462" s="2" t="s">
        <v>31</v>
      </c>
      <c r="G462" s="2" t="s">
        <v>69</v>
      </c>
      <c r="H462" s="2">
        <v>4.0</v>
      </c>
      <c r="I462" s="2">
        <v>2.0</v>
      </c>
      <c r="J462" s="2" t="s">
        <v>33</v>
      </c>
      <c r="K462" s="2" t="s">
        <v>60</v>
      </c>
      <c r="L462" s="2">
        <v>4.0</v>
      </c>
      <c r="M462" s="2" t="s">
        <v>19</v>
      </c>
      <c r="N462" s="2">
        <v>1.0</v>
      </c>
    </row>
    <row r="463">
      <c r="A463" s="2">
        <v>462.0</v>
      </c>
      <c r="B463" s="3">
        <v>45779.0</v>
      </c>
      <c r="C463" s="3" t="s">
        <v>29</v>
      </c>
      <c r="D463" s="3" t="s">
        <v>30</v>
      </c>
      <c r="E463" s="2" t="s">
        <v>29</v>
      </c>
      <c r="F463" s="2" t="s">
        <v>42</v>
      </c>
      <c r="G463" s="2" t="s">
        <v>65</v>
      </c>
      <c r="H463" s="2">
        <v>2.0</v>
      </c>
      <c r="I463" s="2" t="s">
        <v>29</v>
      </c>
      <c r="J463" s="2" t="s">
        <v>33</v>
      </c>
      <c r="K463" s="2" t="s">
        <v>23</v>
      </c>
      <c r="L463" s="2">
        <v>1.0</v>
      </c>
      <c r="M463" s="2" t="s">
        <v>24</v>
      </c>
      <c r="N463" s="2">
        <v>3.0</v>
      </c>
    </row>
    <row r="464">
      <c r="A464" s="2">
        <v>463.0</v>
      </c>
      <c r="B464" s="3">
        <v>45318.0</v>
      </c>
      <c r="C464" s="3">
        <v>45322.0</v>
      </c>
      <c r="D464" s="3" t="s">
        <v>14</v>
      </c>
      <c r="E464" s="2">
        <v>4.0</v>
      </c>
      <c r="F464" s="2" t="s">
        <v>25</v>
      </c>
      <c r="G464" s="2" t="s">
        <v>68</v>
      </c>
      <c r="H464" s="2">
        <v>3.0</v>
      </c>
      <c r="I464" s="2">
        <v>1.0</v>
      </c>
      <c r="J464" s="2" t="s">
        <v>17</v>
      </c>
      <c r="K464" s="2" t="s">
        <v>34</v>
      </c>
      <c r="L464" s="2">
        <v>4.0</v>
      </c>
      <c r="M464" s="2" t="s">
        <v>19</v>
      </c>
      <c r="N464" s="2">
        <v>2.0</v>
      </c>
    </row>
    <row r="465">
      <c r="A465" s="2">
        <v>464.0</v>
      </c>
      <c r="B465" s="3">
        <v>45458.0</v>
      </c>
      <c r="C465" s="3" t="s">
        <v>29</v>
      </c>
      <c r="D465" s="3" t="s">
        <v>52</v>
      </c>
      <c r="E465" s="2" t="s">
        <v>29</v>
      </c>
      <c r="F465" s="2" t="s">
        <v>25</v>
      </c>
      <c r="G465" s="2" t="s">
        <v>68</v>
      </c>
      <c r="H465" s="2">
        <v>3.0</v>
      </c>
      <c r="I465" s="2" t="s">
        <v>29</v>
      </c>
      <c r="J465" s="2" t="s">
        <v>44</v>
      </c>
      <c r="K465" s="2" t="s">
        <v>60</v>
      </c>
      <c r="L465" s="2">
        <v>3.0</v>
      </c>
      <c r="M465" s="2" t="s">
        <v>24</v>
      </c>
      <c r="N465" s="2">
        <v>6.0</v>
      </c>
    </row>
    <row r="466">
      <c r="A466" s="2">
        <v>465.0</v>
      </c>
      <c r="B466" s="3">
        <v>45765.0</v>
      </c>
      <c r="C466" s="3" t="s">
        <v>29</v>
      </c>
      <c r="D466" s="3" t="s">
        <v>52</v>
      </c>
      <c r="E466" s="2" t="s">
        <v>29</v>
      </c>
      <c r="F466" s="2" t="s">
        <v>20</v>
      </c>
      <c r="G466" s="2" t="s">
        <v>41</v>
      </c>
      <c r="H466" s="2">
        <v>3.0</v>
      </c>
      <c r="I466" s="2" t="s">
        <v>29</v>
      </c>
      <c r="J466" s="2" t="s">
        <v>17</v>
      </c>
      <c r="K466" s="2" t="s">
        <v>18</v>
      </c>
      <c r="L466" s="2">
        <v>6.0</v>
      </c>
      <c r="M466" s="2" t="s">
        <v>19</v>
      </c>
      <c r="N466" s="2">
        <v>4.0</v>
      </c>
    </row>
    <row r="467">
      <c r="A467" s="2">
        <v>466.0</v>
      </c>
      <c r="B467" s="3">
        <v>45449.0</v>
      </c>
      <c r="C467" s="3">
        <v>45453.0</v>
      </c>
      <c r="D467" s="3" t="s">
        <v>14</v>
      </c>
      <c r="E467" s="2">
        <v>4.0</v>
      </c>
      <c r="F467" s="2" t="s">
        <v>45</v>
      </c>
      <c r="G467" s="2" t="s">
        <v>70</v>
      </c>
      <c r="H467" s="2">
        <v>4.0</v>
      </c>
      <c r="I467" s="2">
        <v>3.0</v>
      </c>
      <c r="J467" s="2" t="s">
        <v>55</v>
      </c>
      <c r="K467" s="2" t="s">
        <v>18</v>
      </c>
      <c r="L467" s="2">
        <v>5.0</v>
      </c>
      <c r="M467" s="2" t="s">
        <v>19</v>
      </c>
      <c r="N467" s="2">
        <v>5.0</v>
      </c>
    </row>
    <row r="468">
      <c r="A468" s="2">
        <v>467.0</v>
      </c>
      <c r="B468" s="3">
        <v>45766.0</v>
      </c>
      <c r="C468" s="3">
        <v>45799.0</v>
      </c>
      <c r="D468" s="3" t="s">
        <v>14</v>
      </c>
      <c r="E468" s="2">
        <v>33.0</v>
      </c>
      <c r="F468" s="2" t="s">
        <v>20</v>
      </c>
      <c r="G468" s="2" t="s">
        <v>21</v>
      </c>
      <c r="H468" s="2">
        <v>3.0</v>
      </c>
      <c r="I468" s="2">
        <v>1.0</v>
      </c>
      <c r="J468" s="2" t="s">
        <v>27</v>
      </c>
      <c r="K468" s="2" t="s">
        <v>23</v>
      </c>
      <c r="L468" s="2">
        <v>2.0</v>
      </c>
      <c r="M468" s="2" t="s">
        <v>24</v>
      </c>
      <c r="N468" s="2">
        <v>4.0</v>
      </c>
    </row>
    <row r="469">
      <c r="A469" s="2">
        <v>468.0</v>
      </c>
      <c r="B469" s="3">
        <v>45390.0</v>
      </c>
      <c r="C469" s="3" t="s">
        <v>29</v>
      </c>
      <c r="D469" s="3" t="s">
        <v>30</v>
      </c>
      <c r="E469" s="2" t="s">
        <v>29</v>
      </c>
      <c r="F469" s="2" t="s">
        <v>25</v>
      </c>
      <c r="G469" s="2" t="s">
        <v>68</v>
      </c>
      <c r="H469" s="2">
        <v>2.0</v>
      </c>
      <c r="I469" s="2" t="s">
        <v>29</v>
      </c>
      <c r="J469" s="2" t="s">
        <v>57</v>
      </c>
      <c r="K469" s="2" t="s">
        <v>39</v>
      </c>
      <c r="L469" s="2">
        <v>3.0</v>
      </c>
      <c r="M469" s="2" t="s">
        <v>19</v>
      </c>
      <c r="N469" s="2">
        <v>3.0</v>
      </c>
    </row>
    <row r="470">
      <c r="A470" s="2">
        <v>469.0</v>
      </c>
      <c r="B470" s="3">
        <v>45372.0</v>
      </c>
      <c r="C470" s="3" t="s">
        <v>29</v>
      </c>
      <c r="D470" s="3" t="s">
        <v>30</v>
      </c>
      <c r="E470" s="2" t="s">
        <v>29</v>
      </c>
      <c r="F470" s="2" t="s">
        <v>20</v>
      </c>
      <c r="G470" s="2" t="s">
        <v>48</v>
      </c>
      <c r="H470" s="2">
        <v>2.0</v>
      </c>
      <c r="I470" s="2" t="s">
        <v>29</v>
      </c>
      <c r="J470" s="2" t="s">
        <v>47</v>
      </c>
      <c r="K470" s="2" t="s">
        <v>34</v>
      </c>
      <c r="L470" s="2">
        <v>3.0</v>
      </c>
      <c r="M470" s="2" t="s">
        <v>24</v>
      </c>
      <c r="N470" s="2">
        <v>2.0</v>
      </c>
    </row>
    <row r="471">
      <c r="A471" s="2">
        <v>470.0</v>
      </c>
      <c r="B471" s="3">
        <v>45342.0</v>
      </c>
      <c r="C471" s="3" t="s">
        <v>29</v>
      </c>
      <c r="D471" s="3" t="s">
        <v>52</v>
      </c>
      <c r="E471" s="2" t="s">
        <v>29</v>
      </c>
      <c r="F471" s="2" t="s">
        <v>31</v>
      </c>
      <c r="G471" s="2" t="s">
        <v>69</v>
      </c>
      <c r="H471" s="2">
        <v>3.0</v>
      </c>
      <c r="I471" s="2" t="s">
        <v>29</v>
      </c>
      <c r="J471" s="2" t="s">
        <v>47</v>
      </c>
      <c r="K471" s="2" t="s">
        <v>18</v>
      </c>
      <c r="L471" s="2">
        <v>1.0</v>
      </c>
      <c r="M471" s="2" t="s">
        <v>24</v>
      </c>
      <c r="N471" s="2">
        <v>5.0</v>
      </c>
    </row>
    <row r="472">
      <c r="A472" s="2">
        <v>471.0</v>
      </c>
      <c r="B472" s="3">
        <v>45448.0</v>
      </c>
      <c r="C472" s="3">
        <v>45457.0</v>
      </c>
      <c r="D472" s="3" t="s">
        <v>14</v>
      </c>
      <c r="E472" s="2">
        <v>9.0</v>
      </c>
      <c r="F472" s="2" t="s">
        <v>25</v>
      </c>
      <c r="G472" s="2" t="s">
        <v>26</v>
      </c>
      <c r="H472" s="2">
        <v>2.0</v>
      </c>
      <c r="I472" s="2">
        <v>2.0</v>
      </c>
      <c r="J472" s="2" t="s">
        <v>55</v>
      </c>
      <c r="K472" s="2" t="s">
        <v>18</v>
      </c>
      <c r="L472" s="2">
        <v>5.0</v>
      </c>
      <c r="M472" s="2" t="s">
        <v>19</v>
      </c>
      <c r="N472" s="2">
        <v>3.0</v>
      </c>
    </row>
    <row r="473">
      <c r="A473" s="2">
        <v>472.0</v>
      </c>
      <c r="B473" s="3">
        <v>45503.0</v>
      </c>
      <c r="C473" s="3">
        <v>45509.0</v>
      </c>
      <c r="D473" s="3" t="s">
        <v>14</v>
      </c>
      <c r="E473" s="2">
        <v>6.0</v>
      </c>
      <c r="F473" s="2" t="s">
        <v>15</v>
      </c>
      <c r="G473" s="2" t="s">
        <v>37</v>
      </c>
      <c r="H473" s="2">
        <v>3.0</v>
      </c>
      <c r="I473" s="2">
        <v>3.0</v>
      </c>
      <c r="J473" s="2" t="s">
        <v>57</v>
      </c>
      <c r="K473" s="2" t="s">
        <v>23</v>
      </c>
      <c r="L473" s="2">
        <v>1.0</v>
      </c>
      <c r="M473" s="2" t="s">
        <v>19</v>
      </c>
      <c r="N473" s="2">
        <v>2.0</v>
      </c>
    </row>
    <row r="474">
      <c r="A474" s="2">
        <v>473.0</v>
      </c>
      <c r="B474" s="3">
        <v>45508.0</v>
      </c>
      <c r="C474" s="3">
        <v>45514.0</v>
      </c>
      <c r="D474" s="3" t="s">
        <v>14</v>
      </c>
      <c r="E474" s="2">
        <v>6.0</v>
      </c>
      <c r="F474" s="2" t="s">
        <v>42</v>
      </c>
      <c r="G474" s="2" t="s">
        <v>50</v>
      </c>
      <c r="H474" s="2">
        <v>2.0</v>
      </c>
      <c r="I474" s="2">
        <v>2.0</v>
      </c>
      <c r="J474" s="2" t="s">
        <v>58</v>
      </c>
      <c r="K474" s="2" t="s">
        <v>39</v>
      </c>
      <c r="L474" s="2">
        <v>3.0</v>
      </c>
      <c r="M474" s="2" t="s">
        <v>24</v>
      </c>
      <c r="N474" s="2">
        <v>2.0</v>
      </c>
    </row>
    <row r="475">
      <c r="A475" s="2">
        <v>474.0</v>
      </c>
      <c r="B475" s="3">
        <v>45527.0</v>
      </c>
      <c r="C475" s="3">
        <v>45562.0</v>
      </c>
      <c r="D475" s="3" t="s">
        <v>14</v>
      </c>
      <c r="E475" s="2">
        <v>35.0</v>
      </c>
      <c r="F475" s="2" t="s">
        <v>20</v>
      </c>
      <c r="G475" s="2" t="s">
        <v>41</v>
      </c>
      <c r="H475" s="2">
        <v>3.0</v>
      </c>
      <c r="I475" s="2">
        <v>3.0</v>
      </c>
      <c r="J475" s="2" t="s">
        <v>66</v>
      </c>
      <c r="K475" s="2" t="s">
        <v>23</v>
      </c>
      <c r="L475" s="2">
        <v>1.0</v>
      </c>
      <c r="M475" s="2" t="s">
        <v>19</v>
      </c>
      <c r="N475" s="2">
        <v>2.0</v>
      </c>
    </row>
    <row r="476">
      <c r="A476" s="2">
        <v>475.0</v>
      </c>
      <c r="B476" s="3">
        <v>45373.0</v>
      </c>
      <c r="C476" s="3" t="s">
        <v>29</v>
      </c>
      <c r="D476" s="3" t="s">
        <v>52</v>
      </c>
      <c r="E476" s="2" t="s">
        <v>29</v>
      </c>
      <c r="F476" s="2" t="s">
        <v>42</v>
      </c>
      <c r="G476" s="2" t="s">
        <v>65</v>
      </c>
      <c r="H476" s="2">
        <v>3.0</v>
      </c>
      <c r="I476" s="2" t="s">
        <v>29</v>
      </c>
      <c r="J476" s="2" t="s">
        <v>58</v>
      </c>
      <c r="K476" s="2" t="s">
        <v>34</v>
      </c>
      <c r="L476" s="2">
        <v>1.0</v>
      </c>
      <c r="M476" s="2" t="s">
        <v>24</v>
      </c>
      <c r="N476" s="2">
        <v>1.0</v>
      </c>
    </row>
    <row r="477">
      <c r="A477" s="2">
        <v>476.0</v>
      </c>
      <c r="B477" s="3">
        <v>45572.0</v>
      </c>
      <c r="C477" s="3" t="s">
        <v>29</v>
      </c>
      <c r="D477" s="3" t="s">
        <v>52</v>
      </c>
      <c r="E477" s="2" t="s">
        <v>29</v>
      </c>
      <c r="F477" s="2" t="s">
        <v>15</v>
      </c>
      <c r="G477" s="2" t="s">
        <v>16</v>
      </c>
      <c r="H477" s="2">
        <v>4.0</v>
      </c>
      <c r="I477" s="2" t="s">
        <v>29</v>
      </c>
      <c r="J477" s="2" t="s">
        <v>17</v>
      </c>
      <c r="K477" s="2" t="s">
        <v>28</v>
      </c>
      <c r="L477" s="2">
        <v>1.0</v>
      </c>
      <c r="M477" s="2" t="s">
        <v>19</v>
      </c>
      <c r="N477" s="2">
        <v>5.0</v>
      </c>
    </row>
    <row r="478">
      <c r="A478" s="2">
        <v>477.0</v>
      </c>
      <c r="B478" s="3">
        <v>45363.0</v>
      </c>
      <c r="C478" s="3">
        <v>45377.0</v>
      </c>
      <c r="D478" s="3" t="s">
        <v>14</v>
      </c>
      <c r="E478" s="2">
        <v>14.0</v>
      </c>
      <c r="F478" s="2" t="s">
        <v>45</v>
      </c>
      <c r="G478" s="2" t="s">
        <v>46</v>
      </c>
      <c r="H478" s="2">
        <v>2.0</v>
      </c>
      <c r="I478" s="2">
        <v>2.0</v>
      </c>
      <c r="J478" s="2" t="s">
        <v>40</v>
      </c>
      <c r="K478" s="2" t="s">
        <v>18</v>
      </c>
      <c r="L478" s="2">
        <v>2.0</v>
      </c>
      <c r="M478" s="2" t="s">
        <v>24</v>
      </c>
      <c r="N478" s="2">
        <v>6.0</v>
      </c>
    </row>
    <row r="479">
      <c r="A479" s="2">
        <v>478.0</v>
      </c>
      <c r="B479" s="3">
        <v>45349.0</v>
      </c>
      <c r="C479" s="3" t="s">
        <v>29</v>
      </c>
      <c r="D479" s="3" t="s">
        <v>30</v>
      </c>
      <c r="E479" s="2" t="s">
        <v>29</v>
      </c>
      <c r="F479" s="2" t="s">
        <v>42</v>
      </c>
      <c r="G479" s="2" t="s">
        <v>53</v>
      </c>
      <c r="H479" s="2">
        <v>1.0</v>
      </c>
      <c r="I479" s="2" t="s">
        <v>29</v>
      </c>
      <c r="J479" s="2" t="s">
        <v>33</v>
      </c>
      <c r="K479" s="2" t="s">
        <v>34</v>
      </c>
      <c r="L479" s="2">
        <v>4.0</v>
      </c>
      <c r="M479" s="2" t="s">
        <v>19</v>
      </c>
      <c r="N479" s="2">
        <v>2.0</v>
      </c>
    </row>
    <row r="480">
      <c r="A480" s="2">
        <v>479.0</v>
      </c>
      <c r="B480" s="3">
        <v>45310.0</v>
      </c>
      <c r="C480" s="3">
        <v>45315.0</v>
      </c>
      <c r="D480" s="3" t="s">
        <v>14</v>
      </c>
      <c r="E480" s="2">
        <v>5.0</v>
      </c>
      <c r="F480" s="2" t="s">
        <v>42</v>
      </c>
      <c r="G480" s="2" t="s">
        <v>43</v>
      </c>
      <c r="H480" s="2">
        <v>2.0</v>
      </c>
      <c r="I480" s="2">
        <v>2.0</v>
      </c>
      <c r="J480" s="2" t="s">
        <v>22</v>
      </c>
      <c r="K480" s="2" t="s">
        <v>23</v>
      </c>
      <c r="L480" s="2">
        <v>2.0</v>
      </c>
      <c r="M480" s="2" t="s">
        <v>24</v>
      </c>
      <c r="N480" s="2">
        <v>6.0</v>
      </c>
    </row>
    <row r="481">
      <c r="A481" s="2">
        <v>480.0</v>
      </c>
      <c r="B481" s="3">
        <v>45567.0</v>
      </c>
      <c r="C481" s="3">
        <v>45571.0</v>
      </c>
      <c r="D481" s="3" t="s">
        <v>14</v>
      </c>
      <c r="E481" s="2">
        <v>4.0</v>
      </c>
      <c r="F481" s="2" t="s">
        <v>20</v>
      </c>
      <c r="G481" s="2" t="s">
        <v>41</v>
      </c>
      <c r="H481" s="2">
        <v>1.0</v>
      </c>
      <c r="I481" s="2">
        <v>1.0</v>
      </c>
      <c r="J481" s="2" t="s">
        <v>58</v>
      </c>
      <c r="K481" s="2" t="s">
        <v>23</v>
      </c>
      <c r="L481" s="2">
        <v>3.0</v>
      </c>
      <c r="M481" s="2" t="s">
        <v>24</v>
      </c>
      <c r="N481" s="2">
        <v>2.0</v>
      </c>
    </row>
    <row r="482">
      <c r="A482" s="2">
        <v>481.0</v>
      </c>
      <c r="B482" s="3">
        <v>45597.0</v>
      </c>
      <c r="C482" s="3" t="s">
        <v>29</v>
      </c>
      <c r="D482" s="3" t="s">
        <v>30</v>
      </c>
      <c r="E482" s="2" t="s">
        <v>29</v>
      </c>
      <c r="F482" s="2" t="s">
        <v>15</v>
      </c>
      <c r="G482" s="2" t="s">
        <v>16</v>
      </c>
      <c r="H482" s="2">
        <v>1.0</v>
      </c>
      <c r="I482" s="2" t="s">
        <v>29</v>
      </c>
      <c r="J482" s="2" t="s">
        <v>49</v>
      </c>
      <c r="K482" s="2" t="s">
        <v>34</v>
      </c>
      <c r="L482" s="2">
        <v>5.0</v>
      </c>
      <c r="M482" s="2" t="s">
        <v>19</v>
      </c>
      <c r="N482" s="2">
        <v>5.0</v>
      </c>
    </row>
    <row r="483">
      <c r="A483" s="2">
        <v>482.0</v>
      </c>
      <c r="B483" s="3">
        <v>45703.0</v>
      </c>
      <c r="C483" s="3" t="s">
        <v>29</v>
      </c>
      <c r="D483" s="3" t="s">
        <v>52</v>
      </c>
      <c r="E483" s="2" t="s">
        <v>29</v>
      </c>
      <c r="F483" s="2" t="s">
        <v>25</v>
      </c>
      <c r="G483" s="2" t="s">
        <v>59</v>
      </c>
      <c r="H483" s="2">
        <v>3.0</v>
      </c>
      <c r="I483" s="2" t="s">
        <v>29</v>
      </c>
      <c r="J483" s="2" t="s">
        <v>38</v>
      </c>
      <c r="K483" s="2" t="s">
        <v>23</v>
      </c>
      <c r="L483" s="2">
        <v>3.0</v>
      </c>
      <c r="M483" s="2" t="s">
        <v>24</v>
      </c>
      <c r="N483" s="2">
        <v>2.0</v>
      </c>
    </row>
    <row r="484">
      <c r="A484" s="2">
        <v>483.0</v>
      </c>
      <c r="B484" s="3">
        <v>45535.0</v>
      </c>
      <c r="C484" s="3">
        <v>45571.0</v>
      </c>
      <c r="D484" s="3" t="s">
        <v>14</v>
      </c>
      <c r="E484" s="2">
        <v>36.0</v>
      </c>
      <c r="F484" s="2" t="s">
        <v>25</v>
      </c>
      <c r="G484" s="2" t="s">
        <v>26</v>
      </c>
      <c r="H484" s="2">
        <v>2.0</v>
      </c>
      <c r="I484" s="2">
        <v>2.0</v>
      </c>
      <c r="J484" s="2" t="s">
        <v>36</v>
      </c>
      <c r="K484" s="2" t="s">
        <v>23</v>
      </c>
      <c r="L484" s="2">
        <v>5.0</v>
      </c>
      <c r="M484" s="2" t="s">
        <v>19</v>
      </c>
      <c r="N484" s="2">
        <v>4.0</v>
      </c>
    </row>
    <row r="485">
      <c r="A485" s="2">
        <v>484.0</v>
      </c>
      <c r="B485" s="3">
        <v>45672.0</v>
      </c>
      <c r="C485" s="3">
        <v>45693.0</v>
      </c>
      <c r="D485" s="3" t="s">
        <v>14</v>
      </c>
      <c r="E485" s="2">
        <v>21.0</v>
      </c>
      <c r="F485" s="2" t="s">
        <v>45</v>
      </c>
      <c r="G485" s="2" t="s">
        <v>46</v>
      </c>
      <c r="H485" s="2">
        <v>3.0</v>
      </c>
      <c r="I485" s="2">
        <v>3.0</v>
      </c>
      <c r="J485" s="2" t="s">
        <v>62</v>
      </c>
      <c r="K485" s="2" t="s">
        <v>28</v>
      </c>
      <c r="L485" s="2">
        <v>3.0</v>
      </c>
      <c r="M485" s="2" t="s">
        <v>24</v>
      </c>
      <c r="N485" s="2">
        <v>4.0</v>
      </c>
    </row>
    <row r="486">
      <c r="A486" s="2">
        <v>485.0</v>
      </c>
      <c r="B486" s="3">
        <v>45687.0</v>
      </c>
      <c r="C486" s="3" t="s">
        <v>29</v>
      </c>
      <c r="D486" s="3" t="s">
        <v>52</v>
      </c>
      <c r="E486" s="2" t="s">
        <v>29</v>
      </c>
      <c r="F486" s="2" t="s">
        <v>15</v>
      </c>
      <c r="G486" s="2" t="s">
        <v>16</v>
      </c>
      <c r="H486" s="2">
        <v>2.0</v>
      </c>
      <c r="I486" s="2" t="s">
        <v>29</v>
      </c>
      <c r="J486" s="2" t="s">
        <v>38</v>
      </c>
      <c r="K486" s="2" t="s">
        <v>18</v>
      </c>
      <c r="L486" s="2">
        <v>1.0</v>
      </c>
      <c r="M486" s="2" t="s">
        <v>24</v>
      </c>
      <c r="N486" s="2">
        <v>5.0</v>
      </c>
    </row>
    <row r="487">
      <c r="A487" s="2">
        <v>486.0</v>
      </c>
      <c r="B487" s="3">
        <v>45712.0</v>
      </c>
      <c r="C487" s="3">
        <v>45723.0</v>
      </c>
      <c r="D487" s="3" t="s">
        <v>14</v>
      </c>
      <c r="E487" s="2">
        <v>11.0</v>
      </c>
      <c r="F487" s="2" t="s">
        <v>20</v>
      </c>
      <c r="G487" s="2" t="s">
        <v>21</v>
      </c>
      <c r="H487" s="2">
        <v>2.0</v>
      </c>
      <c r="I487" s="2">
        <v>2.0</v>
      </c>
      <c r="J487" s="2" t="s">
        <v>63</v>
      </c>
      <c r="K487" s="2" t="s">
        <v>60</v>
      </c>
      <c r="L487" s="2">
        <v>5.0</v>
      </c>
      <c r="M487" s="2" t="s">
        <v>24</v>
      </c>
      <c r="N487" s="2">
        <v>2.0</v>
      </c>
    </row>
    <row r="488">
      <c r="A488" s="2">
        <v>487.0</v>
      </c>
      <c r="B488" s="3">
        <v>45519.0</v>
      </c>
      <c r="C488" s="3">
        <v>45529.0</v>
      </c>
      <c r="D488" s="3" t="s">
        <v>14</v>
      </c>
      <c r="E488" s="2">
        <v>10.0</v>
      </c>
      <c r="F488" s="2" t="s">
        <v>42</v>
      </c>
      <c r="G488" s="2" t="s">
        <v>65</v>
      </c>
      <c r="H488" s="2">
        <v>1.0</v>
      </c>
      <c r="I488" s="2">
        <v>1.0</v>
      </c>
      <c r="J488" s="2" t="s">
        <v>55</v>
      </c>
      <c r="K488" s="2" t="s">
        <v>18</v>
      </c>
      <c r="L488" s="2">
        <v>1.0</v>
      </c>
      <c r="M488" s="2" t="s">
        <v>19</v>
      </c>
      <c r="N488" s="2">
        <v>3.0</v>
      </c>
    </row>
    <row r="489">
      <c r="A489" s="2">
        <v>488.0</v>
      </c>
      <c r="B489" s="3">
        <v>45307.0</v>
      </c>
      <c r="C489" s="3" t="s">
        <v>29</v>
      </c>
      <c r="D489" s="3" t="s">
        <v>52</v>
      </c>
      <c r="E489" s="2" t="s">
        <v>29</v>
      </c>
      <c r="F489" s="2" t="s">
        <v>45</v>
      </c>
      <c r="G489" s="2" t="s">
        <v>56</v>
      </c>
      <c r="H489" s="2">
        <v>1.0</v>
      </c>
      <c r="I489" s="2" t="s">
        <v>29</v>
      </c>
      <c r="J489" s="2" t="s">
        <v>22</v>
      </c>
      <c r="K489" s="2" t="s">
        <v>60</v>
      </c>
      <c r="L489" s="2">
        <v>3.0</v>
      </c>
      <c r="M489" s="2" t="s">
        <v>19</v>
      </c>
      <c r="N489" s="2">
        <v>2.0</v>
      </c>
    </row>
    <row r="490">
      <c r="A490" s="2">
        <v>489.0</v>
      </c>
      <c r="B490" s="3">
        <v>45727.0</v>
      </c>
      <c r="C490" s="3">
        <v>45728.0</v>
      </c>
      <c r="D490" s="3" t="s">
        <v>14</v>
      </c>
      <c r="E490" s="2">
        <v>1.0</v>
      </c>
      <c r="F490" s="2" t="s">
        <v>31</v>
      </c>
      <c r="G490" s="2" t="s">
        <v>54</v>
      </c>
      <c r="H490" s="2">
        <v>4.0</v>
      </c>
      <c r="I490" s="2">
        <v>4.0</v>
      </c>
      <c r="J490" s="2" t="s">
        <v>58</v>
      </c>
      <c r="K490" s="2" t="s">
        <v>39</v>
      </c>
      <c r="L490" s="2">
        <v>1.0</v>
      </c>
      <c r="M490" s="2" t="s">
        <v>24</v>
      </c>
      <c r="N490" s="2">
        <v>6.0</v>
      </c>
    </row>
    <row r="491">
      <c r="A491" s="2">
        <v>490.0</v>
      </c>
      <c r="B491" s="3">
        <v>45675.0</v>
      </c>
      <c r="C491" s="3">
        <v>45684.0</v>
      </c>
      <c r="D491" s="3" t="s">
        <v>14</v>
      </c>
      <c r="E491" s="2">
        <v>9.0</v>
      </c>
      <c r="F491" s="2" t="s">
        <v>42</v>
      </c>
      <c r="G491" s="2" t="s">
        <v>43</v>
      </c>
      <c r="H491" s="2">
        <v>4.0</v>
      </c>
      <c r="I491" s="2">
        <v>3.0</v>
      </c>
      <c r="J491" s="2" t="s">
        <v>67</v>
      </c>
      <c r="K491" s="2" t="s">
        <v>39</v>
      </c>
      <c r="L491" s="2">
        <v>4.0</v>
      </c>
      <c r="M491" s="2" t="s">
        <v>19</v>
      </c>
      <c r="N491" s="2">
        <v>1.0</v>
      </c>
    </row>
    <row r="492">
      <c r="A492" s="2">
        <v>491.0</v>
      </c>
      <c r="B492" s="3">
        <v>45572.0</v>
      </c>
      <c r="C492" s="3">
        <v>45587.0</v>
      </c>
      <c r="D492" s="3" t="s">
        <v>14</v>
      </c>
      <c r="E492" s="2">
        <v>15.0</v>
      </c>
      <c r="F492" s="2" t="s">
        <v>15</v>
      </c>
      <c r="G492" s="2" t="s">
        <v>16</v>
      </c>
      <c r="H492" s="2">
        <v>2.0</v>
      </c>
      <c r="I492" s="2">
        <v>1.0</v>
      </c>
      <c r="J492" s="2" t="s">
        <v>44</v>
      </c>
      <c r="K492" s="2" t="s">
        <v>34</v>
      </c>
      <c r="L492" s="2">
        <v>4.0</v>
      </c>
      <c r="M492" s="2" t="s">
        <v>19</v>
      </c>
      <c r="N492" s="2">
        <v>2.0</v>
      </c>
    </row>
    <row r="493">
      <c r="A493" s="2">
        <v>492.0</v>
      </c>
      <c r="B493" s="3">
        <v>45448.0</v>
      </c>
      <c r="C493" s="3" t="s">
        <v>29</v>
      </c>
      <c r="D493" s="3" t="s">
        <v>52</v>
      </c>
      <c r="E493" s="2" t="s">
        <v>29</v>
      </c>
      <c r="F493" s="2" t="s">
        <v>31</v>
      </c>
      <c r="G493" s="2" t="s">
        <v>54</v>
      </c>
      <c r="H493" s="2">
        <v>1.0</v>
      </c>
      <c r="I493" s="2" t="s">
        <v>29</v>
      </c>
      <c r="J493" s="2" t="s">
        <v>22</v>
      </c>
      <c r="K493" s="2" t="s">
        <v>39</v>
      </c>
      <c r="L493" s="2">
        <v>4.0</v>
      </c>
      <c r="M493" s="2" t="s">
        <v>24</v>
      </c>
      <c r="N493" s="2">
        <v>4.0</v>
      </c>
    </row>
    <row r="494">
      <c r="A494" s="2">
        <v>493.0</v>
      </c>
      <c r="B494" s="3">
        <v>45293.0</v>
      </c>
      <c r="C494" s="3">
        <v>45325.0</v>
      </c>
      <c r="D494" s="3" t="s">
        <v>14</v>
      </c>
      <c r="E494" s="2">
        <v>32.0</v>
      </c>
      <c r="F494" s="2" t="s">
        <v>25</v>
      </c>
      <c r="G494" s="2" t="s">
        <v>61</v>
      </c>
      <c r="H494" s="2">
        <v>2.0</v>
      </c>
      <c r="I494" s="2">
        <v>1.0</v>
      </c>
      <c r="J494" s="2" t="s">
        <v>38</v>
      </c>
      <c r="K494" s="2" t="s">
        <v>28</v>
      </c>
      <c r="L494" s="2">
        <v>2.0</v>
      </c>
      <c r="M494" s="2" t="s">
        <v>19</v>
      </c>
      <c r="N494" s="2">
        <v>3.0</v>
      </c>
    </row>
    <row r="495">
      <c r="A495" s="2">
        <v>494.0</v>
      </c>
      <c r="B495" s="3">
        <v>45634.0</v>
      </c>
      <c r="C495" s="3">
        <v>45676.0</v>
      </c>
      <c r="D495" s="3" t="s">
        <v>14</v>
      </c>
      <c r="E495" s="2">
        <v>42.0</v>
      </c>
      <c r="F495" s="2" t="s">
        <v>31</v>
      </c>
      <c r="G495" s="2" t="s">
        <v>54</v>
      </c>
      <c r="H495" s="2">
        <v>4.0</v>
      </c>
      <c r="I495" s="2">
        <v>4.0</v>
      </c>
      <c r="J495" s="2" t="s">
        <v>55</v>
      </c>
      <c r="K495" s="2" t="s">
        <v>18</v>
      </c>
      <c r="L495" s="2">
        <v>1.0</v>
      </c>
      <c r="M495" s="2" t="s">
        <v>24</v>
      </c>
      <c r="N495" s="2">
        <v>1.0</v>
      </c>
    </row>
    <row r="496">
      <c r="A496" s="2">
        <v>495.0</v>
      </c>
      <c r="B496" s="3">
        <v>45569.0</v>
      </c>
      <c r="C496" s="3">
        <v>45583.0</v>
      </c>
      <c r="D496" s="3" t="s">
        <v>14</v>
      </c>
      <c r="E496" s="2">
        <v>14.0</v>
      </c>
      <c r="F496" s="2" t="s">
        <v>20</v>
      </c>
      <c r="G496" s="2" t="s">
        <v>21</v>
      </c>
      <c r="H496" s="2">
        <v>3.0</v>
      </c>
      <c r="I496" s="2">
        <v>3.0</v>
      </c>
      <c r="J496" s="2" t="s">
        <v>62</v>
      </c>
      <c r="K496" s="2" t="s">
        <v>39</v>
      </c>
      <c r="L496" s="2">
        <v>1.0</v>
      </c>
      <c r="M496" s="2" t="s">
        <v>24</v>
      </c>
      <c r="N496" s="2">
        <v>1.0</v>
      </c>
    </row>
    <row r="497">
      <c r="A497" s="2">
        <v>496.0</v>
      </c>
      <c r="B497" s="3">
        <v>45657.0</v>
      </c>
      <c r="C497" s="3">
        <v>45696.0</v>
      </c>
      <c r="D497" s="3" t="s">
        <v>14</v>
      </c>
      <c r="E497" s="2">
        <v>39.0</v>
      </c>
      <c r="F497" s="2" t="s">
        <v>45</v>
      </c>
      <c r="G497" s="2" t="s">
        <v>56</v>
      </c>
      <c r="H497" s="2">
        <v>3.0</v>
      </c>
      <c r="I497" s="2">
        <v>2.0</v>
      </c>
      <c r="J497" s="2" t="s">
        <v>64</v>
      </c>
      <c r="K497" s="2" t="s">
        <v>23</v>
      </c>
      <c r="L497" s="2">
        <v>1.0</v>
      </c>
      <c r="M497" s="2" t="s">
        <v>19</v>
      </c>
      <c r="N497" s="2">
        <v>2.0</v>
      </c>
    </row>
    <row r="498">
      <c r="A498" s="2">
        <v>497.0</v>
      </c>
      <c r="B498" s="3">
        <v>45674.0</v>
      </c>
      <c r="C498" s="3">
        <v>45677.0</v>
      </c>
      <c r="D498" s="3" t="s">
        <v>14</v>
      </c>
      <c r="E498" s="2">
        <v>3.0</v>
      </c>
      <c r="F498" s="2" t="s">
        <v>20</v>
      </c>
      <c r="G498" s="2" t="s">
        <v>41</v>
      </c>
      <c r="H498" s="2">
        <v>4.0</v>
      </c>
      <c r="I498" s="2">
        <v>1.0</v>
      </c>
      <c r="J498" s="2" t="s">
        <v>40</v>
      </c>
      <c r="K498" s="2" t="s">
        <v>23</v>
      </c>
      <c r="L498" s="2">
        <v>4.0</v>
      </c>
      <c r="M498" s="2" t="s">
        <v>24</v>
      </c>
      <c r="N498" s="2">
        <v>3.0</v>
      </c>
    </row>
    <row r="499">
      <c r="A499" s="2">
        <v>498.0</v>
      </c>
      <c r="B499" s="3">
        <v>45749.0</v>
      </c>
      <c r="C499" s="3">
        <v>45761.0</v>
      </c>
      <c r="D499" s="3" t="s">
        <v>14</v>
      </c>
      <c r="E499" s="2">
        <v>12.0</v>
      </c>
      <c r="F499" s="2" t="s">
        <v>20</v>
      </c>
      <c r="G499" s="2" t="s">
        <v>21</v>
      </c>
      <c r="H499" s="2">
        <v>3.0</v>
      </c>
      <c r="I499" s="2">
        <v>3.0</v>
      </c>
      <c r="J499" s="2" t="s">
        <v>66</v>
      </c>
      <c r="K499" s="2" t="s">
        <v>34</v>
      </c>
      <c r="L499" s="2">
        <v>5.0</v>
      </c>
      <c r="M499" s="2" t="s">
        <v>19</v>
      </c>
      <c r="N499" s="2">
        <v>1.0</v>
      </c>
    </row>
    <row r="500">
      <c r="A500" s="2">
        <v>499.0</v>
      </c>
      <c r="B500" s="3">
        <v>45688.0</v>
      </c>
      <c r="C500" s="3" t="s">
        <v>29</v>
      </c>
      <c r="D500" s="3" t="s">
        <v>30</v>
      </c>
      <c r="E500" s="2" t="s">
        <v>29</v>
      </c>
      <c r="F500" s="2" t="s">
        <v>25</v>
      </c>
      <c r="G500" s="2" t="s">
        <v>61</v>
      </c>
      <c r="H500" s="2">
        <v>3.0</v>
      </c>
      <c r="I500" s="2" t="s">
        <v>29</v>
      </c>
      <c r="J500" s="2" t="s">
        <v>47</v>
      </c>
      <c r="K500" s="2" t="s">
        <v>28</v>
      </c>
      <c r="L500" s="2">
        <v>5.0</v>
      </c>
      <c r="M500" s="2" t="s">
        <v>19</v>
      </c>
      <c r="N500" s="2">
        <v>1.0</v>
      </c>
    </row>
    <row r="501">
      <c r="A501" s="2">
        <v>500.0</v>
      </c>
      <c r="B501" s="3">
        <v>45821.0</v>
      </c>
      <c r="C501" s="3" t="s">
        <v>29</v>
      </c>
      <c r="D501" s="3" t="s">
        <v>52</v>
      </c>
      <c r="E501" s="2" t="s">
        <v>29</v>
      </c>
      <c r="F501" s="2" t="s">
        <v>25</v>
      </c>
      <c r="G501" s="2" t="s">
        <v>59</v>
      </c>
      <c r="H501" s="2">
        <v>4.0</v>
      </c>
      <c r="I501" s="2" t="s">
        <v>29</v>
      </c>
      <c r="J501" s="2" t="s">
        <v>66</v>
      </c>
      <c r="K501" s="2" t="s">
        <v>39</v>
      </c>
      <c r="L501" s="2">
        <v>2.0</v>
      </c>
      <c r="M501" s="2" t="s">
        <v>24</v>
      </c>
      <c r="N501" s="2">
        <v>4.0</v>
      </c>
    </row>
  </sheetData>
  <conditionalFormatting sqref="O14">
    <cfRule type="notContainsBlanks" dxfId="0" priority="1">
      <formula>LEN(TRIM(O14))&gt;0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</cols>
  <sheetData>
    <row r="1">
      <c r="A1" s="4" t="s">
        <v>71</v>
      </c>
      <c r="B1" s="4" t="s">
        <v>72</v>
      </c>
    </row>
    <row r="2">
      <c r="A2" s="2">
        <v>1.0</v>
      </c>
      <c r="B2" s="2" t="s">
        <v>73</v>
      </c>
    </row>
    <row r="3">
      <c r="A3" s="2">
        <v>2.0</v>
      </c>
      <c r="B3" s="2" t="s">
        <v>74</v>
      </c>
    </row>
    <row r="4">
      <c r="A4" s="2">
        <v>3.0</v>
      </c>
      <c r="B4" s="2" t="s">
        <v>75</v>
      </c>
    </row>
    <row r="5">
      <c r="A5" s="2">
        <v>4.0</v>
      </c>
      <c r="B5" s="2" t="s">
        <v>76</v>
      </c>
    </row>
    <row r="6">
      <c r="A6" s="2">
        <v>5.0</v>
      </c>
      <c r="B6" s="2" t="s">
        <v>77</v>
      </c>
    </row>
    <row r="7">
      <c r="A7" s="2">
        <v>6.0</v>
      </c>
      <c r="B7" s="2" t="s">
        <v>78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27.25"/>
  </cols>
  <sheetData>
    <row r="1">
      <c r="A1" s="5" t="s">
        <v>79</v>
      </c>
      <c r="B1" s="5" t="s">
        <v>80</v>
      </c>
      <c r="C1" s="5" t="s">
        <v>81</v>
      </c>
      <c r="D1" s="5" t="s">
        <v>82</v>
      </c>
    </row>
    <row r="2">
      <c r="A2" s="2" t="s">
        <v>49</v>
      </c>
      <c r="B2" s="2" t="s">
        <v>83</v>
      </c>
      <c r="C2" s="2" t="s">
        <v>34</v>
      </c>
      <c r="D2" s="2" t="s">
        <v>84</v>
      </c>
    </row>
    <row r="3">
      <c r="A3" s="2" t="s">
        <v>66</v>
      </c>
      <c r="B3" s="2" t="s">
        <v>85</v>
      </c>
      <c r="C3" s="2" t="s">
        <v>18</v>
      </c>
      <c r="D3" s="2" t="s">
        <v>84</v>
      </c>
    </row>
    <row r="4">
      <c r="A4" s="2" t="s">
        <v>40</v>
      </c>
      <c r="B4" s="2" t="s">
        <v>86</v>
      </c>
      <c r="C4" s="2" t="s">
        <v>18</v>
      </c>
      <c r="D4" s="2" t="s">
        <v>84</v>
      </c>
    </row>
    <row r="5">
      <c r="A5" s="2" t="s">
        <v>38</v>
      </c>
      <c r="B5" s="2" t="s">
        <v>85</v>
      </c>
      <c r="C5" s="2" t="s">
        <v>18</v>
      </c>
      <c r="D5" s="2" t="s">
        <v>84</v>
      </c>
    </row>
    <row r="6">
      <c r="A6" s="2" t="s">
        <v>36</v>
      </c>
      <c r="B6" s="2" t="s">
        <v>87</v>
      </c>
      <c r="C6" s="2" t="s">
        <v>18</v>
      </c>
      <c r="D6" s="2" t="s">
        <v>84</v>
      </c>
    </row>
    <row r="7">
      <c r="A7" s="2" t="s">
        <v>63</v>
      </c>
      <c r="B7" s="2" t="s">
        <v>88</v>
      </c>
      <c r="C7" s="2" t="s">
        <v>18</v>
      </c>
      <c r="D7" s="2" t="s">
        <v>84</v>
      </c>
    </row>
    <row r="8">
      <c r="A8" s="2" t="s">
        <v>57</v>
      </c>
      <c r="B8" s="2" t="s">
        <v>89</v>
      </c>
      <c r="C8" s="2" t="s">
        <v>18</v>
      </c>
      <c r="D8" s="2" t="s">
        <v>84</v>
      </c>
    </row>
    <row r="9">
      <c r="A9" s="2" t="s">
        <v>27</v>
      </c>
      <c r="B9" s="2" t="s">
        <v>85</v>
      </c>
      <c r="C9" s="2" t="s">
        <v>18</v>
      </c>
      <c r="D9" s="2" t="s">
        <v>84</v>
      </c>
    </row>
    <row r="10">
      <c r="A10" s="2" t="s">
        <v>22</v>
      </c>
      <c r="B10" s="2" t="s">
        <v>86</v>
      </c>
      <c r="C10" s="2" t="s">
        <v>34</v>
      </c>
      <c r="D10" s="2" t="s">
        <v>84</v>
      </c>
    </row>
    <row r="11">
      <c r="A11" s="2" t="s">
        <v>55</v>
      </c>
      <c r="B11" s="2" t="s">
        <v>90</v>
      </c>
      <c r="C11" s="2" t="s">
        <v>18</v>
      </c>
      <c r="D11" s="2" t="s">
        <v>84</v>
      </c>
    </row>
    <row r="12">
      <c r="A12" s="2" t="s">
        <v>33</v>
      </c>
      <c r="B12" s="2" t="s">
        <v>85</v>
      </c>
      <c r="C12" s="2" t="s">
        <v>18</v>
      </c>
      <c r="D12" s="2" t="s">
        <v>84</v>
      </c>
    </row>
    <row r="13">
      <c r="A13" s="2" t="s">
        <v>47</v>
      </c>
      <c r="B13" s="2" t="s">
        <v>85</v>
      </c>
      <c r="C13" s="2" t="s">
        <v>18</v>
      </c>
      <c r="D13" s="2" t="s">
        <v>84</v>
      </c>
    </row>
    <row r="14">
      <c r="A14" s="2" t="s">
        <v>44</v>
      </c>
      <c r="B14" s="2" t="s">
        <v>91</v>
      </c>
      <c r="C14" s="2" t="s">
        <v>28</v>
      </c>
      <c r="D14" s="2" t="s">
        <v>84</v>
      </c>
    </row>
    <row r="15">
      <c r="A15" s="2" t="s">
        <v>58</v>
      </c>
      <c r="B15" s="2" t="s">
        <v>92</v>
      </c>
      <c r="C15" s="2" t="s">
        <v>18</v>
      </c>
      <c r="D15" s="2" t="s">
        <v>84</v>
      </c>
    </row>
    <row r="16">
      <c r="A16" s="2" t="s">
        <v>51</v>
      </c>
      <c r="B16" s="2" t="s">
        <v>93</v>
      </c>
      <c r="C16" s="2" t="s">
        <v>18</v>
      </c>
      <c r="D16" s="2" t="s">
        <v>84</v>
      </c>
    </row>
    <row r="17">
      <c r="A17" s="2" t="s">
        <v>17</v>
      </c>
      <c r="B17" s="2" t="s">
        <v>91</v>
      </c>
      <c r="C17" s="2" t="s">
        <v>28</v>
      </c>
      <c r="D17" s="2" t="s">
        <v>84</v>
      </c>
    </row>
    <row r="18">
      <c r="A18" s="2" t="s">
        <v>64</v>
      </c>
      <c r="B18" s="2" t="s">
        <v>90</v>
      </c>
      <c r="C18" s="2" t="s">
        <v>18</v>
      </c>
      <c r="D18" s="2" t="s">
        <v>84</v>
      </c>
    </row>
    <row r="19">
      <c r="A19" s="2" t="s">
        <v>67</v>
      </c>
      <c r="B19" s="2" t="s">
        <v>94</v>
      </c>
      <c r="C19" s="2" t="s">
        <v>23</v>
      </c>
      <c r="D19" s="2" t="s">
        <v>84</v>
      </c>
    </row>
    <row r="20">
      <c r="A20" s="2" t="s">
        <v>62</v>
      </c>
      <c r="B20" s="2" t="s">
        <v>95</v>
      </c>
      <c r="C20" s="2" t="s">
        <v>18</v>
      </c>
      <c r="D20" s="2" t="s">
        <v>84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5"/>
    <col customWidth="1" min="4" max="4" width="16.38"/>
    <col customWidth="1" min="5" max="5" width="13.5"/>
    <col customWidth="1" min="6" max="6" width="25.0"/>
    <col customWidth="1" min="10" max="10" width="25.5"/>
    <col customWidth="1" min="11" max="13" width="15.0"/>
    <col customWidth="1" min="14" max="14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f t="shared" ref="A2:A501" si="1">ROW()-1
</f>
        <v>1</v>
      </c>
      <c r="B2" s="3">
        <f t="shared" ref="B2:B501" si="2">DATE(2024,1,1)+RANDBETWEEN(0,540)</f>
        <v>45657</v>
      </c>
      <c r="C2" s="3">
        <f t="shared" ref="C2:C501" si="3">IF(RAND()&lt;=0.8,
IF(RANDBETWEEN(1,10)&lt;=8,
B2+RANDBETWEEN(1,14),
B2+RANDBETWEEN(15,45)
),
"")</f>
        <v>45659</v>
      </c>
      <c r="D2" s="3" t="str">
        <f t="shared" ref="D2:D501" si="4">IF(C2&lt;&gt;"","Completed",
   IF(RAND()&lt;=0.7,"Pending","Cancelled"))
</f>
        <v>Completed</v>
      </c>
      <c r="E2" s="2">
        <f t="shared" ref="E2:E501" si="5">IF(C2&lt;&gt;"", C2-B2, "")</f>
        <v>2</v>
      </c>
      <c r="F2" s="2" t="str">
        <f t="array" ref="F2">INDEX(lists!F:F,RANDBETWEEN(1,6))
</f>
        <v>Dining</v>
      </c>
      <c r="G2" s="2" t="str">
        <f t="array" ref="G2">IFS(
F2="Bedroom",INDEX(lists!G:G,RANDBETWEEN(1,4)),
F2="Living Room",INDEX(lists!H:H,RANDBETWEEN(1,4)),
F2="Dining",INDEX(lists!I:I,RANDBETWEEN(1,2)),
F2="Kitchen",INDEX(lists!J:J,RANDBETWEEN(1,4)),
F2="Office",INDEX(lists!K:K,RANDBETWEEN(1,3)),
F2="Household Essentials",INDEX(lists!L:L,RANDBETWEEN(1,3))
)
</f>
        <v>Dining Chair</v>
      </c>
      <c r="H2" s="2">
        <f t="shared" ref="H2:H501" si="6"> RANDBETWEEN(1,4)</f>
        <v>1</v>
      </c>
      <c r="I2" s="2">
        <f t="shared" ref="I2:I501" si="7"> IF(C2&lt;&gt;"", RANDBETWEEN(1,H2), "")</f>
        <v>1</v>
      </c>
      <c r="J2" s="2" t="str">
        <f t="array" ref="J2">INDEX(lists!A:A,RANDBETWEEN(1,19))
</f>
        <v>Westbrook Housing</v>
      </c>
      <c r="K2" s="2" t="str">
        <f t="array" ref="K2">INDEX(lists!N:N,RANDBETWEEN(1,6))
</f>
        <v>Biddeford</v>
      </c>
      <c r="L2" s="2">
        <f t="shared" ref="L2:L501" si="8">RANDBETWEEN(1,6)</f>
        <v>3</v>
      </c>
      <c r="M2" s="2" t="str">
        <f t="array" ref="M2">INDEX(lists!O:O,RANDBETWEEN(1,2))
</f>
        <v>Pickup</v>
      </c>
      <c r="N2" s="2">
        <f t="shared" ref="N2:N501" si="9">RANDBETWEEN(1,6)</f>
        <v>3</v>
      </c>
    </row>
    <row r="3">
      <c r="A3" s="2">
        <f t="shared" si="1"/>
        <v>2</v>
      </c>
      <c r="B3" s="3">
        <f t="shared" si="2"/>
        <v>45647</v>
      </c>
      <c r="C3" s="3">
        <f t="shared" si="3"/>
        <v>45679</v>
      </c>
      <c r="D3" s="3" t="str">
        <f t="shared" si="4"/>
        <v>Completed</v>
      </c>
      <c r="E3" s="2">
        <f t="shared" si="5"/>
        <v>32</v>
      </c>
      <c r="F3" s="2" t="str">
        <f t="array" ref="F3">INDEX(lists!F:F,RANDBETWEEN(1,6))
</f>
        <v>Bedroom</v>
      </c>
      <c r="G3" s="2" t="str">
        <f t="array" ref="G3">IFS(
F3="Bedroom",INDEX(lists!G:G,RANDBETWEEN(1,4)),
F3="Living Room",INDEX(lists!H:H,RANDBETWEEN(1,4)),
F3="Dining",INDEX(lists!I:I,RANDBETWEEN(1,2)),
F3="Kitchen",INDEX(lists!J:J,RANDBETWEEN(1,4)),
F3="Office",INDEX(lists!K:K,RANDBETWEEN(1,3)),
F3="Household Essentials",INDEX(lists!L:L,RANDBETWEEN(1,3))
)
</f>
        <v>Bed Frame</v>
      </c>
      <c r="H3" s="2">
        <f t="shared" si="6"/>
        <v>4</v>
      </c>
      <c r="I3" s="2">
        <f t="shared" si="7"/>
        <v>2</v>
      </c>
      <c r="J3" s="2" t="str">
        <f t="array" ref="J3">INDEX(lists!A:A,RANDBETWEEN(1,19))
</f>
        <v>NewHeight Group</v>
      </c>
      <c r="K3" s="2" t="str">
        <f t="array" ref="K3">INDEX(lists!N:N,RANDBETWEEN(1,6))
</f>
        <v>Scarborough</v>
      </c>
      <c r="L3" s="2">
        <f t="shared" si="8"/>
        <v>4</v>
      </c>
      <c r="M3" s="2" t="str">
        <f t="array" ref="M3">INDEX(lists!O:O,RANDBETWEEN(1,2))
</f>
        <v>Pickup</v>
      </c>
      <c r="N3" s="2">
        <f t="shared" si="9"/>
        <v>1</v>
      </c>
    </row>
    <row r="4">
      <c r="A4" s="2">
        <f t="shared" si="1"/>
        <v>3</v>
      </c>
      <c r="B4" s="3">
        <f t="shared" si="2"/>
        <v>45552</v>
      </c>
      <c r="C4" s="3">
        <f t="shared" si="3"/>
        <v>45554</v>
      </c>
      <c r="D4" s="3" t="str">
        <f t="shared" si="4"/>
        <v>Completed</v>
      </c>
      <c r="E4" s="2">
        <f t="shared" si="5"/>
        <v>2</v>
      </c>
      <c r="F4" s="2" t="str">
        <f t="array" ref="F4">INDEX(lists!F:F,RANDBETWEEN(1,6))
</f>
        <v>Dining</v>
      </c>
      <c r="G4" s="2" t="str">
        <f t="array" ref="G4">IFS(
F4="Bedroom",INDEX(lists!G:G,RANDBETWEEN(1,4)),
F4="Living Room",INDEX(lists!H:H,RANDBETWEEN(1,4)),
F4="Dining",INDEX(lists!I:I,RANDBETWEEN(1,2)),
F4="Kitchen",INDEX(lists!J:J,RANDBETWEEN(1,4)),
F4="Office",INDEX(lists!K:K,RANDBETWEEN(1,3)),
F4="Household Essentials",INDEX(lists!L:L,RANDBETWEEN(1,3))
)
</f>
        <v>Dining Table</v>
      </c>
      <c r="H4" s="2">
        <f t="shared" si="6"/>
        <v>4</v>
      </c>
      <c r="I4" s="2">
        <f t="shared" si="7"/>
        <v>3</v>
      </c>
      <c r="J4" s="2" t="str">
        <f t="array" ref="J4">INDEX(lists!A:A,RANDBETWEEN(1,19))
</f>
        <v>Coffee By Design</v>
      </c>
      <c r="K4" s="2" t="str">
        <f t="array" ref="K4">INDEX(lists!N:N,RANDBETWEEN(1,6))
</f>
        <v>Portland</v>
      </c>
      <c r="L4" s="2">
        <f t="shared" si="8"/>
        <v>5</v>
      </c>
      <c r="M4" s="2" t="str">
        <f t="array" ref="M4">INDEX(lists!O:O,RANDBETWEEN(1,2))
</f>
        <v>Delivery</v>
      </c>
      <c r="N4" s="2">
        <f t="shared" si="9"/>
        <v>4</v>
      </c>
    </row>
    <row r="5">
      <c r="A5" s="2">
        <f t="shared" si="1"/>
        <v>4</v>
      </c>
      <c r="B5" s="3">
        <f t="shared" si="2"/>
        <v>45678</v>
      </c>
      <c r="C5" s="3">
        <f t="shared" si="3"/>
        <v>45692</v>
      </c>
      <c r="D5" s="3" t="str">
        <f t="shared" si="4"/>
        <v>Completed</v>
      </c>
      <c r="E5" s="2">
        <f t="shared" si="5"/>
        <v>14</v>
      </c>
      <c r="F5" s="2" t="str">
        <f t="array" ref="F5">INDEX(lists!F:F,RANDBETWEEN(1,6))
</f>
        <v>Kitchen</v>
      </c>
      <c r="G5" s="2" t="str">
        <f t="array" ref="G5">IFS(
F5="Bedroom",INDEX(lists!G:G,RANDBETWEEN(1,4)),
F5="Living Room",INDEX(lists!H:H,RANDBETWEEN(1,4)),
F5="Dining",INDEX(lists!I:I,RANDBETWEEN(1,2)),
F5="Kitchen",INDEX(lists!J:J,RANDBETWEEN(1,4)),
F5="Office",INDEX(lists!K:K,RANDBETWEEN(1,3)),
F5="Household Essentials",INDEX(lists!L:L,RANDBETWEEN(1,3))
)
</f>
        <v>Dishes</v>
      </c>
      <c r="H5" s="2">
        <f t="shared" si="6"/>
        <v>1</v>
      </c>
      <c r="I5" s="2">
        <f t="shared" si="7"/>
        <v>1</v>
      </c>
      <c r="J5" s="2" t="str">
        <f t="array" ref="J5">INDEX(lists!A:A,RANDBETWEEN(1,19))
</f>
        <v>Spiritual Workers</v>
      </c>
      <c r="K5" s="2" t="str">
        <f t="array" ref="K5">INDEX(lists!N:N,RANDBETWEEN(1,6))
</f>
        <v>Biddeford</v>
      </c>
      <c r="L5" s="2">
        <f t="shared" si="8"/>
        <v>6</v>
      </c>
      <c r="M5" s="2" t="str">
        <f t="array" ref="M5">INDEX(lists!O:O,RANDBETWEEN(1,2))
</f>
        <v>Delivery</v>
      </c>
      <c r="N5" s="2">
        <f t="shared" si="9"/>
        <v>4</v>
      </c>
    </row>
    <row r="6">
      <c r="A6" s="2">
        <f t="shared" si="1"/>
        <v>5</v>
      </c>
      <c r="B6" s="3">
        <f t="shared" si="2"/>
        <v>45560</v>
      </c>
      <c r="C6" s="3">
        <f t="shared" si="3"/>
        <v>45564</v>
      </c>
      <c r="D6" s="3" t="str">
        <f t="shared" si="4"/>
        <v>Completed</v>
      </c>
      <c r="E6" s="2">
        <f t="shared" si="5"/>
        <v>4</v>
      </c>
      <c r="F6" s="2" t="str">
        <f t="array" ref="F6">INDEX(lists!F:F,RANDBETWEEN(1,6))
</f>
        <v>Kitchen</v>
      </c>
      <c r="G6" s="2" t="str">
        <f t="array" ref="G6">IFS(
F6="Bedroom",INDEX(lists!G:G,RANDBETWEEN(1,4)),
F6="Living Room",INDEX(lists!H:H,RANDBETWEEN(1,4)),
F6="Dining",INDEX(lists!I:I,RANDBETWEEN(1,2)),
F6="Kitchen",INDEX(lists!J:J,RANDBETWEEN(1,4)),
F6="Office",INDEX(lists!K:K,RANDBETWEEN(1,3)),
F6="Household Essentials",INDEX(lists!L:L,RANDBETWEEN(1,3))
)
</f>
        <v>Dishes</v>
      </c>
      <c r="H6" s="2">
        <f t="shared" si="6"/>
        <v>2</v>
      </c>
      <c r="I6" s="2">
        <f t="shared" si="7"/>
        <v>1</v>
      </c>
      <c r="J6" s="2" t="str">
        <f t="array" ref="J6">INDEX(lists!A:A,RANDBETWEEN(1,19))
</f>
        <v>Shutterbugs 4 Charity</v>
      </c>
      <c r="K6" s="2" t="str">
        <f t="array" ref="K6">INDEX(lists!N:N,RANDBETWEEN(1,6))
</f>
        <v>Scarborough</v>
      </c>
      <c r="L6" s="2">
        <f t="shared" si="8"/>
        <v>4</v>
      </c>
      <c r="M6" s="2" t="str">
        <f t="array" ref="M6">INDEX(lists!O:O,RANDBETWEEN(1,2))
</f>
        <v>Pickup</v>
      </c>
      <c r="N6" s="2">
        <f t="shared" si="9"/>
        <v>2</v>
      </c>
    </row>
    <row r="7">
      <c r="A7" s="2">
        <f t="shared" si="1"/>
        <v>6</v>
      </c>
      <c r="B7" s="3">
        <f t="shared" si="2"/>
        <v>45345</v>
      </c>
      <c r="C7" s="3">
        <f t="shared" si="3"/>
        <v>45352</v>
      </c>
      <c r="D7" s="3" t="str">
        <f t="shared" si="4"/>
        <v>Completed</v>
      </c>
      <c r="E7" s="2">
        <f t="shared" si="5"/>
        <v>7</v>
      </c>
      <c r="F7" s="2" t="str">
        <f t="array" ref="F7">INDEX(lists!F:F,RANDBETWEEN(1,6))
</f>
        <v>Dining</v>
      </c>
      <c r="G7" s="2" t="str">
        <f t="array" ref="G7">IFS(
F7="Bedroom",INDEX(lists!G:G,RANDBETWEEN(1,4)),
F7="Living Room",INDEX(lists!H:H,RANDBETWEEN(1,4)),
F7="Dining",INDEX(lists!I:I,RANDBETWEEN(1,2)),
F7="Kitchen",INDEX(lists!J:J,RANDBETWEEN(1,4)),
F7="Office",INDEX(lists!K:K,RANDBETWEEN(1,3)),
F7="Household Essentials",INDEX(lists!L:L,RANDBETWEEN(1,3))
)
</f>
        <v>Dining Table</v>
      </c>
      <c r="H7" s="2">
        <f t="shared" si="6"/>
        <v>4</v>
      </c>
      <c r="I7" s="2">
        <f t="shared" si="7"/>
        <v>3</v>
      </c>
      <c r="J7" s="2" t="str">
        <f t="array" ref="J7">INDEX(lists!A:A,RANDBETWEEN(1,19))
</f>
        <v>GoGo Refill</v>
      </c>
      <c r="K7" s="2" t="str">
        <f t="array" ref="K7">INDEX(lists!N:N,RANDBETWEEN(1,6))
</f>
        <v>Scarborough</v>
      </c>
      <c r="L7" s="2">
        <f t="shared" si="8"/>
        <v>6</v>
      </c>
      <c r="M7" s="2" t="str">
        <f t="array" ref="M7">INDEX(lists!O:O,RANDBETWEEN(1,2))
</f>
        <v>Delivery</v>
      </c>
      <c r="N7" s="2">
        <f t="shared" si="9"/>
        <v>3</v>
      </c>
    </row>
    <row r="8">
      <c r="A8" s="2">
        <f t="shared" si="1"/>
        <v>7</v>
      </c>
      <c r="B8" s="3">
        <f t="shared" si="2"/>
        <v>45580</v>
      </c>
      <c r="C8" s="3">
        <f t="shared" si="3"/>
        <v>45614</v>
      </c>
      <c r="D8" s="3" t="str">
        <f t="shared" si="4"/>
        <v>Completed</v>
      </c>
      <c r="E8" s="2">
        <f t="shared" si="5"/>
        <v>34</v>
      </c>
      <c r="F8" s="2" t="str">
        <f t="array" ref="F8">INDEX(lists!F:F,RANDBETWEEN(1,6))
</f>
        <v>Dining</v>
      </c>
      <c r="G8" s="2" t="str">
        <f t="array" ref="G8">IFS(
F8="Bedroom",INDEX(lists!G:G,RANDBETWEEN(1,4)),
F8="Living Room",INDEX(lists!H:H,RANDBETWEEN(1,4)),
F8="Dining",INDEX(lists!I:I,RANDBETWEEN(1,2)),
F8="Kitchen",INDEX(lists!J:J,RANDBETWEEN(1,4)),
F8="Office",INDEX(lists!K:K,RANDBETWEEN(1,3)),
F8="Household Essentials",INDEX(lists!L:L,RANDBETWEEN(1,3))
)
</f>
        <v>Dining Table</v>
      </c>
      <c r="H8" s="2">
        <f t="shared" si="6"/>
        <v>3</v>
      </c>
      <c r="I8" s="2">
        <f t="shared" si="7"/>
        <v>2</v>
      </c>
      <c r="J8" s="2" t="str">
        <f t="array" ref="J8">INDEX(lists!A:A,RANDBETWEEN(1,19))
</f>
        <v>Keybank</v>
      </c>
      <c r="K8" s="2" t="str">
        <f t="array" ref="K8">INDEX(lists!N:N,RANDBETWEEN(1,6))
</f>
        <v>Biddeford</v>
      </c>
      <c r="L8" s="2">
        <f t="shared" si="8"/>
        <v>3</v>
      </c>
      <c r="M8" s="2" t="str">
        <f t="array" ref="M8">INDEX(lists!O:O,RANDBETWEEN(1,2))
</f>
        <v>Delivery</v>
      </c>
      <c r="N8" s="2">
        <f t="shared" si="9"/>
        <v>1</v>
      </c>
    </row>
    <row r="9">
      <c r="A9" s="2">
        <f t="shared" si="1"/>
        <v>8</v>
      </c>
      <c r="B9" s="3">
        <f t="shared" si="2"/>
        <v>45509</v>
      </c>
      <c r="C9" s="3">
        <f t="shared" si="3"/>
        <v>45545</v>
      </c>
      <c r="D9" s="3" t="str">
        <f t="shared" si="4"/>
        <v>Completed</v>
      </c>
      <c r="E9" s="2">
        <f t="shared" si="5"/>
        <v>36</v>
      </c>
      <c r="F9" s="2" t="str">
        <f t="array" ref="F9">INDEX(lists!F:F,RANDBETWEEN(1,6))
</f>
        <v>Household Essentials</v>
      </c>
      <c r="G9" s="2" t="str">
        <f t="array" ref="G9">IFS(
F9="Bedroom",INDEX(lists!G:G,RANDBETWEEN(1,4)),
F9="Living Room",INDEX(lists!H:H,RANDBETWEEN(1,4)),
F9="Dining",INDEX(lists!I:I,RANDBETWEEN(1,2)),
F9="Kitchen",INDEX(lists!J:J,RANDBETWEEN(1,4)),
F9="Office",INDEX(lists!K:K,RANDBETWEEN(1,3)),
F9="Household Essentials",INDEX(lists!L:L,RANDBETWEEN(1,3))
)
</f>
        <v>Rugs</v>
      </c>
      <c r="H9" s="2">
        <f t="shared" si="6"/>
        <v>1</v>
      </c>
      <c r="I9" s="2">
        <f t="shared" si="7"/>
        <v>1</v>
      </c>
      <c r="J9" s="2" t="str">
        <f t="array" ref="J9">INDEX(lists!A:A,RANDBETWEEN(1,19))
</f>
        <v>EthosVont</v>
      </c>
      <c r="K9" s="2" t="str">
        <f t="array" ref="K9">INDEX(lists!N:N,RANDBETWEEN(1,6))
</f>
        <v>South Portland</v>
      </c>
      <c r="L9" s="2">
        <f t="shared" si="8"/>
        <v>5</v>
      </c>
      <c r="M9" s="2" t="str">
        <f t="array" ref="M9">INDEX(lists!O:O,RANDBETWEEN(1,2))
</f>
        <v>Delivery</v>
      </c>
      <c r="N9" s="2">
        <f t="shared" si="9"/>
        <v>5</v>
      </c>
    </row>
    <row r="10">
      <c r="A10" s="2">
        <f t="shared" si="1"/>
        <v>9</v>
      </c>
      <c r="B10" s="3">
        <f t="shared" si="2"/>
        <v>45522</v>
      </c>
      <c r="C10" s="3">
        <f t="shared" si="3"/>
        <v>45536</v>
      </c>
      <c r="D10" s="3" t="str">
        <f t="shared" si="4"/>
        <v>Completed</v>
      </c>
      <c r="E10" s="2">
        <f t="shared" si="5"/>
        <v>14</v>
      </c>
      <c r="F10" s="2" t="str">
        <f t="array" ref="F10">INDEX(lists!F:F,RANDBETWEEN(1,6))
</f>
        <v>Bedroom</v>
      </c>
      <c r="G10" s="2" t="str">
        <f t="array" ref="G10">IFS(
F10="Bedroom",INDEX(lists!G:G,RANDBETWEEN(1,4)),
F10="Living Room",INDEX(lists!H:H,RANDBETWEEN(1,4)),
F10="Dining",INDEX(lists!I:I,RANDBETWEEN(1,2)),
F10="Kitchen",INDEX(lists!J:J,RANDBETWEEN(1,4)),
F10="Office",INDEX(lists!K:K,RANDBETWEEN(1,3)),
F10="Household Essentials",INDEX(lists!L:L,RANDBETWEEN(1,3))
)
</f>
        <v>Mattress</v>
      </c>
      <c r="H10" s="2">
        <f t="shared" si="6"/>
        <v>2</v>
      </c>
      <c r="I10" s="2">
        <f t="shared" si="7"/>
        <v>1</v>
      </c>
      <c r="J10" s="2" t="str">
        <f t="array" ref="J10">INDEX(lists!A:A,RANDBETWEEN(1,19))
</f>
        <v>J.B Brown and Sons</v>
      </c>
      <c r="K10" s="2" t="str">
        <f t="array" ref="K10">INDEX(lists!N:N,RANDBETWEEN(1,6))
</f>
        <v>Falmouth</v>
      </c>
      <c r="L10" s="2">
        <f t="shared" si="8"/>
        <v>3</v>
      </c>
      <c r="M10" s="2" t="str">
        <f t="array" ref="M10">INDEX(lists!O:O,RANDBETWEEN(1,2))
</f>
        <v>Delivery</v>
      </c>
      <c r="N10" s="2">
        <f t="shared" si="9"/>
        <v>2</v>
      </c>
    </row>
    <row r="11">
      <c r="A11" s="2">
        <f t="shared" si="1"/>
        <v>10</v>
      </c>
      <c r="B11" s="3">
        <f t="shared" si="2"/>
        <v>45579</v>
      </c>
      <c r="C11" s="3">
        <f t="shared" si="3"/>
        <v>45590</v>
      </c>
      <c r="D11" s="3" t="str">
        <f t="shared" si="4"/>
        <v>Completed</v>
      </c>
      <c r="E11" s="2">
        <f t="shared" si="5"/>
        <v>11</v>
      </c>
      <c r="F11" s="2" t="str">
        <f t="array" ref="F11">INDEX(lists!F:F,RANDBETWEEN(1,6))
</f>
        <v>Kitchen</v>
      </c>
      <c r="G11" s="2" t="str">
        <f t="array" ref="G11">IFS(
F11="Bedroom",INDEX(lists!G:G,RANDBETWEEN(1,4)),
F11="Living Room",INDEX(lists!H:H,RANDBETWEEN(1,4)),
F11="Dining",INDEX(lists!I:I,RANDBETWEEN(1,2)),
F11="Kitchen",INDEX(lists!J:J,RANDBETWEEN(1,4)),
F11="Office",INDEX(lists!K:K,RANDBETWEEN(1,3)),
F11="Household Essentials",INDEX(lists!L:L,RANDBETWEEN(1,3))
)
</f>
        <v>Microwave</v>
      </c>
      <c r="H11" s="2">
        <f t="shared" si="6"/>
        <v>3</v>
      </c>
      <c r="I11" s="2">
        <f t="shared" si="7"/>
        <v>1</v>
      </c>
      <c r="J11" s="2" t="str">
        <f t="array" ref="J11">INDEX(lists!A:A,RANDBETWEEN(1,19))
</f>
        <v>Saco &amp; Biddeford Savings</v>
      </c>
      <c r="K11" s="2" t="str">
        <f t="array" ref="K11">INDEX(lists!N:N,RANDBETWEEN(1,6))
</f>
        <v>Portland</v>
      </c>
      <c r="L11" s="2">
        <f t="shared" si="8"/>
        <v>2</v>
      </c>
      <c r="M11" s="2" t="str">
        <f t="array" ref="M11">INDEX(lists!O:O,RANDBETWEEN(1,2))
</f>
        <v>Delivery</v>
      </c>
      <c r="N11" s="2">
        <f t="shared" si="9"/>
        <v>4</v>
      </c>
    </row>
    <row r="12">
      <c r="A12" s="2">
        <f t="shared" si="1"/>
        <v>11</v>
      </c>
      <c r="B12" s="3">
        <f t="shared" si="2"/>
        <v>45355</v>
      </c>
      <c r="C12" s="3">
        <f t="shared" si="3"/>
        <v>45367</v>
      </c>
      <c r="D12" s="3" t="str">
        <f t="shared" si="4"/>
        <v>Completed</v>
      </c>
      <c r="E12" s="2">
        <f t="shared" si="5"/>
        <v>12</v>
      </c>
      <c r="F12" s="2" t="str">
        <f t="array" ref="F12">INDEX(lists!F:F,RANDBETWEEN(1,6))
</f>
        <v>Bedroom</v>
      </c>
      <c r="G12" s="2" t="str">
        <f t="array" ref="G12">IFS(
F12="Bedroom",INDEX(lists!G:G,RANDBETWEEN(1,4)),
F12="Living Room",INDEX(lists!H:H,RANDBETWEEN(1,4)),
F12="Dining",INDEX(lists!I:I,RANDBETWEEN(1,2)),
F12="Kitchen",INDEX(lists!J:J,RANDBETWEEN(1,4)),
F12="Office",INDEX(lists!K:K,RANDBETWEEN(1,3)),
F12="Household Essentials",INDEX(lists!L:L,RANDBETWEEN(1,3))
)
</f>
        <v>Mattress</v>
      </c>
      <c r="H12" s="2">
        <f t="shared" si="6"/>
        <v>2</v>
      </c>
      <c r="I12" s="2">
        <f t="shared" si="7"/>
        <v>1</v>
      </c>
      <c r="J12" s="2" t="str">
        <f t="array" ref="J12">INDEX(lists!A:A,RANDBETWEEN(1,19))
</f>
        <v>Keybank</v>
      </c>
      <c r="K12" s="2" t="str">
        <f t="array" ref="K12">INDEX(lists!N:N,RANDBETWEEN(1,6))
</f>
        <v>South Portland</v>
      </c>
      <c r="L12" s="2">
        <f t="shared" si="8"/>
        <v>5</v>
      </c>
      <c r="M12" s="2" t="str">
        <f t="array" ref="M12">INDEX(lists!O:O,RANDBETWEEN(1,2))
</f>
        <v>Delivery</v>
      </c>
      <c r="N12" s="2">
        <f t="shared" si="9"/>
        <v>5</v>
      </c>
    </row>
    <row r="13">
      <c r="A13" s="2">
        <f t="shared" si="1"/>
        <v>12</v>
      </c>
      <c r="B13" s="3">
        <f t="shared" si="2"/>
        <v>45600</v>
      </c>
      <c r="C13" s="3">
        <f t="shared" si="3"/>
        <v>45631</v>
      </c>
      <c r="D13" s="3" t="str">
        <f t="shared" si="4"/>
        <v>Completed</v>
      </c>
      <c r="E13" s="2">
        <f t="shared" si="5"/>
        <v>31</v>
      </c>
      <c r="F13" s="2" t="str">
        <f t="array" ref="F13">INDEX(lists!F:F,RANDBETWEEN(1,6))
</f>
        <v>Kitchen</v>
      </c>
      <c r="G13" s="2" t="str">
        <f t="array" ref="G13">IFS(
F13="Bedroom",INDEX(lists!G:G,RANDBETWEEN(1,4)),
F13="Living Room",INDEX(lists!H:H,RANDBETWEEN(1,4)),
F13="Dining",INDEX(lists!I:I,RANDBETWEEN(1,2)),
F13="Kitchen",INDEX(lists!J:J,RANDBETWEEN(1,4)),
F13="Office",INDEX(lists!K:K,RANDBETWEEN(1,3)),
F13="Household Essentials",INDEX(lists!L:L,RANDBETWEEN(1,3))
)
</f>
        <v>Pots &amp; Pans</v>
      </c>
      <c r="H13" s="2">
        <f t="shared" si="6"/>
        <v>2</v>
      </c>
      <c r="I13" s="2">
        <f t="shared" si="7"/>
        <v>2</v>
      </c>
      <c r="J13" s="2" t="str">
        <f t="array" ref="J13">INDEX(lists!A:A,RANDBETWEEN(1,19))
</f>
        <v>Center for Real Estate Studies</v>
      </c>
      <c r="K13" s="2" t="str">
        <f t="array" ref="K13">INDEX(lists!N:N,RANDBETWEEN(1,6))
</f>
        <v>Scarborough</v>
      </c>
      <c r="L13" s="2">
        <f t="shared" si="8"/>
        <v>2</v>
      </c>
      <c r="M13" s="2" t="str">
        <f t="array" ref="M13">INDEX(lists!O:O,RANDBETWEEN(1,2))
</f>
        <v>Pickup</v>
      </c>
      <c r="N13" s="2">
        <f t="shared" si="9"/>
        <v>4</v>
      </c>
    </row>
    <row r="14">
      <c r="A14" s="2">
        <f t="shared" si="1"/>
        <v>13</v>
      </c>
      <c r="B14" s="3">
        <f t="shared" si="2"/>
        <v>45809</v>
      </c>
      <c r="C14" s="3">
        <f t="shared" si="3"/>
        <v>45810</v>
      </c>
      <c r="D14" s="3" t="str">
        <f t="shared" si="4"/>
        <v>Completed</v>
      </c>
      <c r="E14" s="2">
        <f t="shared" si="5"/>
        <v>1</v>
      </c>
      <c r="F14" s="2" t="str">
        <f t="array" ref="F14">INDEX(lists!F:F,RANDBETWEEN(1,6))
</f>
        <v>Kitchen</v>
      </c>
      <c r="G14" s="2" t="str">
        <f t="array" ref="G14">IFS(
F14="Bedroom",INDEX(lists!G:G,RANDBETWEEN(1,4)),
F14="Living Room",INDEX(lists!H:H,RANDBETWEEN(1,4)),
F14="Dining",INDEX(lists!I:I,RANDBETWEEN(1,2)),
F14="Kitchen",INDEX(lists!J:J,RANDBETWEEN(1,4)),
F14="Office",INDEX(lists!K:K,RANDBETWEEN(1,3)),
F14="Household Essentials",INDEX(lists!L:L,RANDBETWEEN(1,3))
)
</f>
        <v>Microwave</v>
      </c>
      <c r="H14" s="2">
        <f t="shared" si="6"/>
        <v>1</v>
      </c>
      <c r="I14" s="2">
        <f t="shared" si="7"/>
        <v>1</v>
      </c>
      <c r="J14" s="2" t="str">
        <f t="array" ref="J14">INDEX(lists!A:A,RANDBETWEEN(1,19))
</f>
        <v>NewHeight Group</v>
      </c>
      <c r="K14" s="2" t="str">
        <f t="array" ref="K14">INDEX(lists!N:N,RANDBETWEEN(1,6))
</f>
        <v>Westbrook</v>
      </c>
      <c r="L14" s="2">
        <f t="shared" si="8"/>
        <v>5</v>
      </c>
      <c r="M14" s="2" t="str">
        <f t="array" ref="M14">INDEX(lists!O:O,RANDBETWEEN(1,2))
</f>
        <v>Delivery</v>
      </c>
      <c r="N14" s="2">
        <f t="shared" si="9"/>
        <v>3</v>
      </c>
    </row>
    <row r="15">
      <c r="A15" s="2">
        <f t="shared" si="1"/>
        <v>14</v>
      </c>
      <c r="B15" s="3">
        <f t="shared" si="2"/>
        <v>45652</v>
      </c>
      <c r="C15" s="3">
        <f t="shared" si="3"/>
        <v>45662</v>
      </c>
      <c r="D15" s="3" t="str">
        <f t="shared" si="4"/>
        <v>Completed</v>
      </c>
      <c r="E15" s="2">
        <f t="shared" si="5"/>
        <v>10</v>
      </c>
      <c r="F15" s="2" t="str">
        <f t="array" ref="F15">INDEX(lists!F:F,RANDBETWEEN(1,6))
</f>
        <v>Office</v>
      </c>
      <c r="G15" s="2" t="str">
        <f t="array" ref="G15">IFS(
F15="Bedroom",INDEX(lists!G:G,RANDBETWEEN(1,4)),
F15="Living Room",INDEX(lists!H:H,RANDBETWEEN(1,4)),
F15="Dining",INDEX(lists!I:I,RANDBETWEEN(1,2)),
F15="Kitchen",INDEX(lists!J:J,RANDBETWEEN(1,4)),
F15="Office",INDEX(lists!K:K,RANDBETWEEN(1,3)),
F15="Household Essentials",INDEX(lists!L:L,RANDBETWEEN(1,3))
)
</f>
        <v>Desk</v>
      </c>
      <c r="H15" s="2">
        <f t="shared" si="6"/>
        <v>4</v>
      </c>
      <c r="I15" s="2">
        <f t="shared" si="7"/>
        <v>4</v>
      </c>
      <c r="J15" s="2" t="str">
        <f t="array" ref="J15">INDEX(lists!A:A,RANDBETWEEN(1,19))
</f>
        <v>Shutterbugs 4 Charity</v>
      </c>
      <c r="K15" s="2" t="str">
        <f t="array" ref="K15">INDEX(lists!N:N,RANDBETWEEN(1,6))
</f>
        <v>Portland</v>
      </c>
      <c r="L15" s="2">
        <f t="shared" si="8"/>
        <v>2</v>
      </c>
      <c r="M15" s="2" t="str">
        <f t="array" ref="M15">INDEX(lists!O:O,RANDBETWEEN(1,2))
</f>
        <v>Delivery</v>
      </c>
      <c r="N15" s="2">
        <f t="shared" si="9"/>
        <v>3</v>
      </c>
    </row>
    <row r="16">
      <c r="A16" s="2">
        <f t="shared" si="1"/>
        <v>15</v>
      </c>
      <c r="B16" s="3">
        <f t="shared" si="2"/>
        <v>45555</v>
      </c>
      <c r="C16" s="3">
        <f t="shared" si="3"/>
        <v>45563</v>
      </c>
      <c r="D16" s="3" t="str">
        <f t="shared" si="4"/>
        <v>Completed</v>
      </c>
      <c r="E16" s="2">
        <f t="shared" si="5"/>
        <v>8</v>
      </c>
      <c r="F16" s="2" t="str">
        <f t="array" ref="F16">INDEX(lists!F:F,RANDBETWEEN(1,6))
</f>
        <v>Household Essentials</v>
      </c>
      <c r="G16" s="2" t="str">
        <f t="array" ref="G16">IFS(
F16="Bedroom",INDEX(lists!G:G,RANDBETWEEN(1,4)),
F16="Living Room",INDEX(lists!H:H,RANDBETWEEN(1,4)),
F16="Dining",INDEX(lists!I:I,RANDBETWEEN(1,2)),
F16="Kitchen",INDEX(lists!J:J,RANDBETWEEN(1,4)),
F16="Office",INDEX(lists!K:K,RANDBETWEEN(1,3)),
F16="Household Essentials",INDEX(lists!L:L,RANDBETWEEN(1,3))
)
</f>
        <v>Lamps</v>
      </c>
      <c r="H16" s="2">
        <f t="shared" si="6"/>
        <v>2</v>
      </c>
      <c r="I16" s="2">
        <f t="shared" si="7"/>
        <v>2</v>
      </c>
      <c r="J16" s="2" t="str">
        <f t="array" ref="J16">INDEX(lists!A:A,RANDBETWEEN(1,19))
</f>
        <v>Center for Real Estate Studies</v>
      </c>
      <c r="K16" s="2" t="str">
        <f t="array" ref="K16">INDEX(lists!N:N,RANDBETWEEN(1,6))
</f>
        <v>Biddeford</v>
      </c>
      <c r="L16" s="2">
        <f t="shared" si="8"/>
        <v>1</v>
      </c>
      <c r="M16" s="2" t="str">
        <f t="array" ref="M16">INDEX(lists!O:O,RANDBETWEEN(1,2))
</f>
        <v>Delivery</v>
      </c>
      <c r="N16" s="2">
        <f t="shared" si="9"/>
        <v>6</v>
      </c>
    </row>
    <row r="17">
      <c r="A17" s="2">
        <f t="shared" si="1"/>
        <v>16</v>
      </c>
      <c r="B17" s="3">
        <f t="shared" si="2"/>
        <v>45452</v>
      </c>
      <c r="C17" s="3">
        <f t="shared" si="3"/>
        <v>45455</v>
      </c>
      <c r="D17" s="3" t="str">
        <f t="shared" si="4"/>
        <v>Completed</v>
      </c>
      <c r="E17" s="2">
        <f t="shared" si="5"/>
        <v>3</v>
      </c>
      <c r="F17" s="2" t="str">
        <f t="array" ref="F17">INDEX(lists!F:F,RANDBETWEEN(1,6))
</f>
        <v>Living Room</v>
      </c>
      <c r="G17" s="2" t="str">
        <f t="array" ref="G17">IFS(
F17="Bedroom",INDEX(lists!G:G,RANDBETWEEN(1,4)),
F17="Living Room",INDEX(lists!H:H,RANDBETWEEN(1,4)),
F17="Dining",INDEX(lists!I:I,RANDBETWEEN(1,2)),
F17="Kitchen",INDEX(lists!J:J,RANDBETWEEN(1,4)),
F17="Office",INDEX(lists!K:K,RANDBETWEEN(1,3)),
F17="Household Essentials",INDEX(lists!L:L,RANDBETWEEN(1,3))
)
</f>
        <v>Coffee Table</v>
      </c>
      <c r="H17" s="2">
        <f t="shared" si="6"/>
        <v>2</v>
      </c>
      <c r="I17" s="2">
        <f t="shared" si="7"/>
        <v>1</v>
      </c>
      <c r="J17" s="2" t="str">
        <f t="array" ref="J17">INDEX(lists!A:A,RANDBETWEEN(1,19))
</f>
        <v>Maine Community Bank</v>
      </c>
      <c r="K17" s="2" t="str">
        <f t="array" ref="K17">INDEX(lists!N:N,RANDBETWEEN(1,6))
</f>
        <v>Falmouth</v>
      </c>
      <c r="L17" s="2">
        <f t="shared" si="8"/>
        <v>2</v>
      </c>
      <c r="M17" s="2" t="str">
        <f t="array" ref="M17">INDEX(lists!O:O,RANDBETWEEN(1,2))
</f>
        <v>Pickup</v>
      </c>
      <c r="N17" s="2">
        <f t="shared" si="9"/>
        <v>3</v>
      </c>
    </row>
    <row r="18">
      <c r="A18" s="2">
        <f t="shared" si="1"/>
        <v>17</v>
      </c>
      <c r="B18" s="3">
        <f t="shared" si="2"/>
        <v>45295</v>
      </c>
      <c r="C18" s="3" t="str">
        <f t="shared" si="3"/>
        <v/>
      </c>
      <c r="D18" s="3" t="str">
        <f t="shared" si="4"/>
        <v>Cancelled</v>
      </c>
      <c r="E18" s="2" t="str">
        <f t="shared" si="5"/>
        <v/>
      </c>
      <c r="F18" s="2" t="str">
        <f t="array" ref="F18">INDEX(lists!F:F,RANDBETWEEN(1,6))
</f>
        <v>Dining</v>
      </c>
      <c r="G18" s="2" t="str">
        <f t="array" ref="G18">IFS(
F18="Bedroom",INDEX(lists!G:G,RANDBETWEEN(1,4)),
F18="Living Room",INDEX(lists!H:H,RANDBETWEEN(1,4)),
F18="Dining",INDEX(lists!I:I,RANDBETWEEN(1,2)),
F18="Kitchen",INDEX(lists!J:J,RANDBETWEEN(1,4)),
F18="Office",INDEX(lists!K:K,RANDBETWEEN(1,3)),
F18="Household Essentials",INDEX(lists!L:L,RANDBETWEEN(1,3))
)
</f>
        <v>Dining Chair</v>
      </c>
      <c r="H18" s="2">
        <f t="shared" si="6"/>
        <v>1</v>
      </c>
      <c r="I18" s="2" t="str">
        <f t="shared" si="7"/>
        <v/>
      </c>
      <c r="J18" s="2" t="str">
        <f t="array" ref="J18">INDEX(lists!A:A,RANDBETWEEN(1,19))
</f>
        <v>GoGo Refill</v>
      </c>
      <c r="K18" s="2" t="str">
        <f t="array" ref="K18">INDEX(lists!N:N,RANDBETWEEN(1,6))
</f>
        <v>Westbrook</v>
      </c>
      <c r="L18" s="2">
        <f t="shared" si="8"/>
        <v>5</v>
      </c>
      <c r="M18" s="2" t="str">
        <f t="array" ref="M18">INDEX(lists!O:O,RANDBETWEEN(1,2))
</f>
        <v>Pickup</v>
      </c>
      <c r="N18" s="2">
        <f t="shared" si="9"/>
        <v>6</v>
      </c>
    </row>
    <row r="19">
      <c r="A19" s="2">
        <f t="shared" si="1"/>
        <v>18</v>
      </c>
      <c r="B19" s="3">
        <f t="shared" si="2"/>
        <v>45406</v>
      </c>
      <c r="C19" s="3">
        <f t="shared" si="3"/>
        <v>45428</v>
      </c>
      <c r="D19" s="3" t="str">
        <f t="shared" si="4"/>
        <v>Completed</v>
      </c>
      <c r="E19" s="2">
        <f t="shared" si="5"/>
        <v>22</v>
      </c>
      <c r="F19" s="2" t="str">
        <f t="array" ref="F19">INDEX(lists!F:F,RANDBETWEEN(1,6))
</f>
        <v>Living Room</v>
      </c>
      <c r="G19" s="2" t="str">
        <f t="array" ref="G19">IFS(
F19="Bedroom",INDEX(lists!G:G,RANDBETWEEN(1,4)),
F19="Living Room",INDEX(lists!H:H,RANDBETWEEN(1,4)),
F19="Dining",INDEX(lists!I:I,RANDBETWEEN(1,2)),
F19="Kitchen",INDEX(lists!J:J,RANDBETWEEN(1,4)),
F19="Office",INDEX(lists!K:K,RANDBETWEEN(1,3)),
F19="Household Essentials",INDEX(lists!L:L,RANDBETWEEN(1,3))
)
</f>
        <v>TV Stand</v>
      </c>
      <c r="H19" s="2">
        <f t="shared" si="6"/>
        <v>4</v>
      </c>
      <c r="I19" s="2">
        <f t="shared" si="7"/>
        <v>2</v>
      </c>
      <c r="J19" s="2" t="str">
        <f t="array" ref="J19">INDEX(lists!A:A,RANDBETWEEN(1,19))
</f>
        <v>Saco &amp; Biddeford Savings</v>
      </c>
      <c r="K19" s="2" t="str">
        <f t="array" ref="K19">INDEX(lists!N:N,RANDBETWEEN(1,6))
</f>
        <v>Falmouth</v>
      </c>
      <c r="L19" s="2">
        <f t="shared" si="8"/>
        <v>5</v>
      </c>
      <c r="M19" s="2" t="str">
        <f t="array" ref="M19">INDEX(lists!O:O,RANDBETWEEN(1,2))
</f>
        <v>Pickup</v>
      </c>
      <c r="N19" s="2">
        <f t="shared" si="9"/>
        <v>6</v>
      </c>
    </row>
    <row r="20">
      <c r="A20" s="2">
        <f t="shared" si="1"/>
        <v>19</v>
      </c>
      <c r="B20" s="3">
        <f t="shared" si="2"/>
        <v>45818</v>
      </c>
      <c r="C20" s="3">
        <f t="shared" si="3"/>
        <v>45820</v>
      </c>
      <c r="D20" s="3" t="str">
        <f t="shared" si="4"/>
        <v>Completed</v>
      </c>
      <c r="E20" s="2">
        <f t="shared" si="5"/>
        <v>2</v>
      </c>
      <c r="F20" s="2" t="str">
        <f t="array" ref="F20">INDEX(lists!F:F,RANDBETWEEN(1,6))
</f>
        <v>Office</v>
      </c>
      <c r="G20" s="2" t="str">
        <f t="array" ref="G20">IFS(
F20="Bedroom",INDEX(lists!G:G,RANDBETWEEN(1,4)),
F20="Living Room",INDEX(lists!H:H,RANDBETWEEN(1,4)),
F20="Dining",INDEX(lists!I:I,RANDBETWEEN(1,2)),
F20="Kitchen",INDEX(lists!J:J,RANDBETWEEN(1,4)),
F20="Office",INDEX(lists!K:K,RANDBETWEEN(1,3)),
F20="Household Essentials",INDEX(lists!L:L,RANDBETWEEN(1,3))
)
</f>
        <v>Desk</v>
      </c>
      <c r="H20" s="2">
        <f t="shared" si="6"/>
        <v>4</v>
      </c>
      <c r="I20" s="2">
        <f t="shared" si="7"/>
        <v>4</v>
      </c>
      <c r="J20" s="2" t="str">
        <f t="array" ref="J20">INDEX(lists!A:A,RANDBETWEEN(1,19))
</f>
        <v>Jordan's Furniture</v>
      </c>
      <c r="K20" s="2" t="str">
        <f t="array" ref="K20">INDEX(lists!N:N,RANDBETWEEN(1,6))
</f>
        <v>Falmouth</v>
      </c>
      <c r="L20" s="2">
        <f t="shared" si="8"/>
        <v>3</v>
      </c>
      <c r="M20" s="2" t="str">
        <f t="array" ref="M20">INDEX(lists!O:O,RANDBETWEEN(1,2))
</f>
        <v>Pickup</v>
      </c>
      <c r="N20" s="2">
        <f t="shared" si="9"/>
        <v>2</v>
      </c>
    </row>
    <row r="21">
      <c r="A21" s="2">
        <f t="shared" si="1"/>
        <v>20</v>
      </c>
      <c r="B21" s="3">
        <f t="shared" si="2"/>
        <v>45423</v>
      </c>
      <c r="C21" s="3">
        <f t="shared" si="3"/>
        <v>45432</v>
      </c>
      <c r="D21" s="3" t="str">
        <f t="shared" si="4"/>
        <v>Completed</v>
      </c>
      <c r="E21" s="2">
        <f t="shared" si="5"/>
        <v>9</v>
      </c>
      <c r="F21" s="2" t="str">
        <f t="array" ref="F21">INDEX(lists!F:F,RANDBETWEEN(1,6))
</f>
        <v>Household Essentials</v>
      </c>
      <c r="G21" s="2" t="str">
        <f t="array" ref="G21">IFS(
F21="Bedroom",INDEX(lists!G:G,RANDBETWEEN(1,4)),
F21="Living Room",INDEX(lists!H:H,RANDBETWEEN(1,4)),
F21="Dining",INDEX(lists!I:I,RANDBETWEEN(1,2)),
F21="Kitchen",INDEX(lists!J:J,RANDBETWEEN(1,4)),
F21="Office",INDEX(lists!K:K,RANDBETWEEN(1,3)),
F21="Household Essentials",INDEX(lists!L:L,RANDBETWEEN(1,3))
)
</f>
        <v>Bedding</v>
      </c>
      <c r="H21" s="2">
        <f t="shared" si="6"/>
        <v>3</v>
      </c>
      <c r="I21" s="2">
        <f t="shared" si="7"/>
        <v>2</v>
      </c>
      <c r="J21" s="2" t="str">
        <f t="array" ref="J21">INDEX(lists!A:A,RANDBETWEEN(1,19))
</f>
        <v>Coffee By Design</v>
      </c>
      <c r="K21" s="2" t="str">
        <f t="array" ref="K21">INDEX(lists!N:N,RANDBETWEEN(1,6))
</f>
        <v>Biddeford</v>
      </c>
      <c r="L21" s="2">
        <f t="shared" si="8"/>
        <v>3</v>
      </c>
      <c r="M21" s="2" t="str">
        <f t="array" ref="M21">INDEX(lists!O:O,RANDBETWEEN(1,2))
</f>
        <v>Pickup</v>
      </c>
      <c r="N21" s="2">
        <f t="shared" si="9"/>
        <v>2</v>
      </c>
    </row>
    <row r="22">
      <c r="A22" s="2">
        <f t="shared" si="1"/>
        <v>21</v>
      </c>
      <c r="B22" s="3">
        <f t="shared" si="2"/>
        <v>45741</v>
      </c>
      <c r="C22" s="3" t="str">
        <f t="shared" si="3"/>
        <v/>
      </c>
      <c r="D22" s="3" t="str">
        <f t="shared" si="4"/>
        <v>Pending</v>
      </c>
      <c r="E22" s="2" t="str">
        <f t="shared" si="5"/>
        <v/>
      </c>
      <c r="F22" s="2" t="str">
        <f t="array" ref="F22">INDEX(lists!F:F,RANDBETWEEN(1,6))
</f>
        <v>Living Room</v>
      </c>
      <c r="G22" s="2" t="str">
        <f t="array" ref="G22">IFS(
F22="Bedroom",INDEX(lists!G:G,RANDBETWEEN(1,4)),
F22="Living Room",INDEX(lists!H:H,RANDBETWEEN(1,4)),
F22="Dining",INDEX(lists!I:I,RANDBETWEEN(1,2)),
F22="Kitchen",INDEX(lists!J:J,RANDBETWEEN(1,4)),
F22="Office",INDEX(lists!K:K,RANDBETWEEN(1,3)),
F22="Household Essentials",INDEX(lists!L:L,RANDBETWEEN(1,3))
)
</f>
        <v>TV Stand</v>
      </c>
      <c r="H22" s="2">
        <f t="shared" si="6"/>
        <v>1</v>
      </c>
      <c r="I22" s="2" t="str">
        <f t="shared" si="7"/>
        <v/>
      </c>
      <c r="J22" s="2" t="str">
        <f t="array" ref="J22">INDEX(lists!A:A,RANDBETWEEN(1,19))
</f>
        <v>Systems Engineering</v>
      </c>
      <c r="K22" s="2" t="str">
        <f t="array" ref="K22">INDEX(lists!N:N,RANDBETWEEN(1,6))
</f>
        <v>Biddeford</v>
      </c>
      <c r="L22" s="2">
        <f t="shared" si="8"/>
        <v>6</v>
      </c>
      <c r="M22" s="2" t="str">
        <f t="array" ref="M22">INDEX(lists!O:O,RANDBETWEEN(1,2))
</f>
        <v>Pickup</v>
      </c>
      <c r="N22" s="2">
        <f t="shared" si="9"/>
        <v>5</v>
      </c>
    </row>
    <row r="23">
      <c r="A23" s="2">
        <f t="shared" si="1"/>
        <v>22</v>
      </c>
      <c r="B23" s="3">
        <f t="shared" si="2"/>
        <v>45330</v>
      </c>
      <c r="C23" s="3">
        <f t="shared" si="3"/>
        <v>45352</v>
      </c>
      <c r="D23" s="3" t="str">
        <f t="shared" si="4"/>
        <v>Completed</v>
      </c>
      <c r="E23" s="2">
        <f t="shared" si="5"/>
        <v>22</v>
      </c>
      <c r="F23" s="2" t="str">
        <f t="array" ref="F23">INDEX(lists!F:F,RANDBETWEEN(1,6))
</f>
        <v>Household Essentials</v>
      </c>
      <c r="G23" s="2" t="str">
        <f t="array" ref="G23">IFS(
F23="Bedroom",INDEX(lists!G:G,RANDBETWEEN(1,4)),
F23="Living Room",INDEX(lists!H:H,RANDBETWEEN(1,4)),
F23="Dining",INDEX(lists!I:I,RANDBETWEEN(1,2)),
F23="Kitchen",INDEX(lists!J:J,RANDBETWEEN(1,4)),
F23="Office",INDEX(lists!K:K,RANDBETWEEN(1,3)),
F23="Household Essentials",INDEX(lists!L:L,RANDBETWEEN(1,3))
)
</f>
        <v>Bedding</v>
      </c>
      <c r="H23" s="2">
        <f t="shared" si="6"/>
        <v>4</v>
      </c>
      <c r="I23" s="2">
        <f t="shared" si="7"/>
        <v>3</v>
      </c>
      <c r="J23" s="2" t="str">
        <f t="array" ref="J23">INDEX(lists!A:A,RANDBETWEEN(1,19))
</f>
        <v>Shutterbugs 4 Charity</v>
      </c>
      <c r="K23" s="2" t="str">
        <f t="array" ref="K23">INDEX(lists!N:N,RANDBETWEEN(1,6))
</f>
        <v>Scarborough</v>
      </c>
      <c r="L23" s="2">
        <f t="shared" si="8"/>
        <v>5</v>
      </c>
      <c r="M23" s="2" t="str">
        <f t="array" ref="M23">INDEX(lists!O:O,RANDBETWEEN(1,2))
</f>
        <v>Pickup</v>
      </c>
      <c r="N23" s="2">
        <f t="shared" si="9"/>
        <v>5</v>
      </c>
    </row>
    <row r="24">
      <c r="A24" s="2">
        <f t="shared" si="1"/>
        <v>23</v>
      </c>
      <c r="B24" s="3">
        <f t="shared" si="2"/>
        <v>45761</v>
      </c>
      <c r="C24" s="3">
        <f t="shared" si="3"/>
        <v>45763</v>
      </c>
      <c r="D24" s="3" t="str">
        <f t="shared" si="4"/>
        <v>Completed</v>
      </c>
      <c r="E24" s="2">
        <f t="shared" si="5"/>
        <v>2</v>
      </c>
      <c r="F24" s="2" t="str">
        <f t="array" ref="F24">INDEX(lists!F:F,RANDBETWEEN(1,6))
</f>
        <v>Living Room</v>
      </c>
      <c r="G24" s="2" t="str">
        <f t="array" ref="G24">IFS(
F24="Bedroom",INDEX(lists!G:G,RANDBETWEEN(1,4)),
F24="Living Room",INDEX(lists!H:H,RANDBETWEEN(1,4)),
F24="Dining",INDEX(lists!I:I,RANDBETWEEN(1,2)),
F24="Kitchen",INDEX(lists!J:J,RANDBETWEEN(1,4)),
F24="Office",INDEX(lists!K:K,RANDBETWEEN(1,3)),
F24="Household Essentials",INDEX(lists!L:L,RANDBETWEEN(1,3))
)
</f>
        <v>Sofa</v>
      </c>
      <c r="H24" s="2">
        <f t="shared" si="6"/>
        <v>3</v>
      </c>
      <c r="I24" s="2">
        <f t="shared" si="7"/>
        <v>1</v>
      </c>
      <c r="J24" s="2" t="str">
        <f t="array" ref="J24">INDEX(lists!A:A,RANDBETWEEN(1,19))
</f>
        <v>Portland Harbor Group Raymond James</v>
      </c>
      <c r="K24" s="2" t="str">
        <f t="array" ref="K24">INDEX(lists!N:N,RANDBETWEEN(1,6))
</f>
        <v>Biddeford</v>
      </c>
      <c r="L24" s="2">
        <f t="shared" si="8"/>
        <v>2</v>
      </c>
      <c r="M24" s="2" t="str">
        <f t="array" ref="M24">INDEX(lists!O:O,RANDBETWEEN(1,2))
</f>
        <v>Pickup</v>
      </c>
      <c r="N24" s="2">
        <f t="shared" si="9"/>
        <v>1</v>
      </c>
    </row>
    <row r="25">
      <c r="A25" s="2">
        <f t="shared" si="1"/>
        <v>24</v>
      </c>
      <c r="B25" s="3">
        <f t="shared" si="2"/>
        <v>45767</v>
      </c>
      <c r="C25" s="3">
        <f t="shared" si="3"/>
        <v>45769</v>
      </c>
      <c r="D25" s="3" t="str">
        <f t="shared" si="4"/>
        <v>Completed</v>
      </c>
      <c r="E25" s="2">
        <f t="shared" si="5"/>
        <v>2</v>
      </c>
      <c r="F25" s="2" t="str">
        <f t="array" ref="F25">INDEX(lists!F:F,RANDBETWEEN(1,6))
</f>
        <v>Kitchen</v>
      </c>
      <c r="G25" s="2" t="str">
        <f t="array" ref="G25">IFS(
F25="Bedroom",INDEX(lists!G:G,RANDBETWEEN(1,4)),
F25="Living Room",INDEX(lists!H:H,RANDBETWEEN(1,4)),
F25="Dining",INDEX(lists!I:I,RANDBETWEEN(1,2)),
F25="Kitchen",INDEX(lists!J:J,RANDBETWEEN(1,4)),
F25="Office",INDEX(lists!K:K,RANDBETWEEN(1,3)),
F25="Household Essentials",INDEX(lists!L:L,RANDBETWEEN(1,3))
)
</f>
        <v>Pots &amp; Pans</v>
      </c>
      <c r="H25" s="2">
        <f t="shared" si="6"/>
        <v>1</v>
      </c>
      <c r="I25" s="2">
        <f t="shared" si="7"/>
        <v>1</v>
      </c>
      <c r="J25" s="2" t="str">
        <f t="array" ref="J25">INDEX(lists!A:A,RANDBETWEEN(1,19))
</f>
        <v>Spiritual Workers</v>
      </c>
      <c r="K25" s="2" t="str">
        <f t="array" ref="K25">INDEX(lists!N:N,RANDBETWEEN(1,6))
</f>
        <v>Biddeford</v>
      </c>
      <c r="L25" s="2">
        <f t="shared" si="8"/>
        <v>5</v>
      </c>
      <c r="M25" s="2" t="str">
        <f t="array" ref="M25">INDEX(lists!O:O,RANDBETWEEN(1,2))
</f>
        <v>Pickup</v>
      </c>
      <c r="N25" s="2">
        <f t="shared" si="9"/>
        <v>1</v>
      </c>
    </row>
    <row r="26">
      <c r="A26" s="2">
        <f t="shared" si="1"/>
        <v>25</v>
      </c>
      <c r="B26" s="3">
        <f t="shared" si="2"/>
        <v>45329</v>
      </c>
      <c r="C26" s="3">
        <f t="shared" si="3"/>
        <v>45333</v>
      </c>
      <c r="D26" s="3" t="str">
        <f t="shared" si="4"/>
        <v>Completed</v>
      </c>
      <c r="E26" s="2">
        <f t="shared" si="5"/>
        <v>4</v>
      </c>
      <c r="F26" s="2" t="str">
        <f t="array" ref="F26">INDEX(lists!F:F,RANDBETWEEN(1,6))
</f>
        <v>Office</v>
      </c>
      <c r="G26" s="2" t="str">
        <f t="array" ref="G26">IFS(
F26="Bedroom",INDEX(lists!G:G,RANDBETWEEN(1,4)),
F26="Living Room",INDEX(lists!H:H,RANDBETWEEN(1,4)),
F26="Dining",INDEX(lists!I:I,RANDBETWEEN(1,2)),
F26="Kitchen",INDEX(lists!J:J,RANDBETWEEN(1,4)),
F26="Office",INDEX(lists!K:K,RANDBETWEEN(1,3)),
F26="Household Essentials",INDEX(lists!L:L,RANDBETWEEN(1,3))
)
</f>
        <v>Bookshelf</v>
      </c>
      <c r="H26" s="2">
        <f t="shared" si="6"/>
        <v>1</v>
      </c>
      <c r="I26" s="2">
        <f t="shared" si="7"/>
        <v>1</v>
      </c>
      <c r="J26" s="2" t="str">
        <f t="array" ref="J26">INDEX(lists!A:A,RANDBETWEEN(1,19))
</f>
        <v>Developers Collaborative</v>
      </c>
      <c r="K26" s="2" t="str">
        <f t="array" ref="K26">INDEX(lists!N:N,RANDBETWEEN(1,6))
</f>
        <v>Scarborough</v>
      </c>
      <c r="L26" s="2">
        <f t="shared" si="8"/>
        <v>2</v>
      </c>
      <c r="M26" s="2" t="str">
        <f t="array" ref="M26">INDEX(lists!O:O,RANDBETWEEN(1,2))
</f>
        <v>Delivery</v>
      </c>
      <c r="N26" s="2">
        <f t="shared" si="9"/>
        <v>5</v>
      </c>
    </row>
    <row r="27">
      <c r="A27" s="2">
        <f t="shared" si="1"/>
        <v>26</v>
      </c>
      <c r="B27" s="3">
        <f t="shared" si="2"/>
        <v>45637</v>
      </c>
      <c r="C27" s="3">
        <f t="shared" si="3"/>
        <v>45643</v>
      </c>
      <c r="D27" s="3" t="str">
        <f t="shared" si="4"/>
        <v>Completed</v>
      </c>
      <c r="E27" s="2">
        <f t="shared" si="5"/>
        <v>6</v>
      </c>
      <c r="F27" s="2" t="str">
        <f t="array" ref="F27">INDEX(lists!F:F,RANDBETWEEN(1,6))
</f>
        <v>Office</v>
      </c>
      <c r="G27" s="2" t="str">
        <f t="array" ref="G27">IFS(
F27="Bedroom",INDEX(lists!G:G,RANDBETWEEN(1,4)),
F27="Living Room",INDEX(lists!H:H,RANDBETWEEN(1,4)),
F27="Dining",INDEX(lists!I:I,RANDBETWEEN(1,2)),
F27="Kitchen",INDEX(lists!J:J,RANDBETWEEN(1,4)),
F27="Office",INDEX(lists!K:K,RANDBETWEEN(1,3)),
F27="Household Essentials",INDEX(lists!L:L,RANDBETWEEN(1,3))
)
</f>
        <v>Bookshelf</v>
      </c>
      <c r="H27" s="2">
        <f t="shared" si="6"/>
        <v>3</v>
      </c>
      <c r="I27" s="2">
        <f t="shared" si="7"/>
        <v>2</v>
      </c>
      <c r="J27" s="2" t="str">
        <f t="array" ref="J27">INDEX(lists!A:A,RANDBETWEEN(1,19))
</f>
        <v>Maine Community Bank</v>
      </c>
      <c r="K27" s="2" t="str">
        <f t="array" ref="K27">INDEX(lists!N:N,RANDBETWEEN(1,6))
</f>
        <v>Falmouth</v>
      </c>
      <c r="L27" s="2">
        <f t="shared" si="8"/>
        <v>6</v>
      </c>
      <c r="M27" s="2" t="str">
        <f t="array" ref="M27">INDEX(lists!O:O,RANDBETWEEN(1,2))
</f>
        <v>Pickup</v>
      </c>
      <c r="N27" s="2">
        <f t="shared" si="9"/>
        <v>3</v>
      </c>
    </row>
    <row r="28">
      <c r="A28" s="2">
        <f t="shared" si="1"/>
        <v>27</v>
      </c>
      <c r="B28" s="3">
        <f t="shared" si="2"/>
        <v>45357</v>
      </c>
      <c r="C28" s="3" t="str">
        <f t="shared" si="3"/>
        <v/>
      </c>
      <c r="D28" s="3" t="str">
        <f t="shared" si="4"/>
        <v>Cancelled</v>
      </c>
      <c r="E28" s="2" t="str">
        <f t="shared" si="5"/>
        <v/>
      </c>
      <c r="F28" s="2" t="str">
        <f t="array" ref="F28">INDEX(lists!F:F,RANDBETWEEN(1,6))
</f>
        <v>Household Essentials</v>
      </c>
      <c r="G28" s="2" t="str">
        <f t="array" ref="G28">IFS(
F28="Bedroom",INDEX(lists!G:G,RANDBETWEEN(1,4)),
F28="Living Room",INDEX(lists!H:H,RANDBETWEEN(1,4)),
F28="Dining",INDEX(lists!I:I,RANDBETWEEN(1,2)),
F28="Kitchen",INDEX(lists!J:J,RANDBETWEEN(1,4)),
F28="Office",INDEX(lists!K:K,RANDBETWEEN(1,3)),
F28="Household Essentials",INDEX(lists!L:L,RANDBETWEEN(1,3))
)
</f>
        <v>Rugs</v>
      </c>
      <c r="H28" s="2">
        <f t="shared" si="6"/>
        <v>3</v>
      </c>
      <c r="I28" s="2" t="str">
        <f t="shared" si="7"/>
        <v/>
      </c>
      <c r="J28" s="2" t="str">
        <f t="array" ref="J28">INDEX(lists!A:A,RANDBETWEEN(1,19))
</f>
        <v>GoGo Refill</v>
      </c>
      <c r="K28" s="2" t="str">
        <f t="array" ref="K28">INDEX(lists!N:N,RANDBETWEEN(1,6))
</f>
        <v>Portland</v>
      </c>
      <c r="L28" s="2">
        <f t="shared" si="8"/>
        <v>4</v>
      </c>
      <c r="M28" s="2" t="str">
        <f t="array" ref="M28">INDEX(lists!O:O,RANDBETWEEN(1,2))
</f>
        <v>Pickup</v>
      </c>
      <c r="N28" s="2">
        <f t="shared" si="9"/>
        <v>2</v>
      </c>
    </row>
    <row r="29">
      <c r="A29" s="2">
        <f t="shared" si="1"/>
        <v>28</v>
      </c>
      <c r="B29" s="3">
        <f t="shared" si="2"/>
        <v>45640</v>
      </c>
      <c r="C29" s="3">
        <f t="shared" si="3"/>
        <v>45643</v>
      </c>
      <c r="D29" s="3" t="str">
        <f t="shared" si="4"/>
        <v>Completed</v>
      </c>
      <c r="E29" s="2">
        <f t="shared" si="5"/>
        <v>3</v>
      </c>
      <c r="F29" s="2" t="str">
        <f t="array" ref="F29">INDEX(lists!F:F,RANDBETWEEN(1,6))
</f>
        <v>Dining</v>
      </c>
      <c r="G29" s="2" t="str">
        <f t="array" ref="G29">IFS(
F29="Bedroom",INDEX(lists!G:G,RANDBETWEEN(1,4)),
F29="Living Room",INDEX(lists!H:H,RANDBETWEEN(1,4)),
F29="Dining",INDEX(lists!I:I,RANDBETWEEN(1,2)),
F29="Kitchen",INDEX(lists!J:J,RANDBETWEEN(1,4)),
F29="Office",INDEX(lists!K:K,RANDBETWEEN(1,3)),
F29="Household Essentials",INDEX(lists!L:L,RANDBETWEEN(1,3))
)
</f>
        <v>Dining Chair</v>
      </c>
      <c r="H29" s="2">
        <f t="shared" si="6"/>
        <v>1</v>
      </c>
      <c r="I29" s="2">
        <f t="shared" si="7"/>
        <v>1</v>
      </c>
      <c r="J29" s="2" t="str">
        <f t="array" ref="J29">INDEX(lists!A:A,RANDBETWEEN(1,19))
</f>
        <v>Coffee By Design</v>
      </c>
      <c r="K29" s="2" t="str">
        <f t="array" ref="K29">INDEX(lists!N:N,RANDBETWEEN(1,6))
</f>
        <v>Westbrook</v>
      </c>
      <c r="L29" s="2">
        <f t="shared" si="8"/>
        <v>5</v>
      </c>
      <c r="M29" s="2" t="str">
        <f t="array" ref="M29">INDEX(lists!O:O,RANDBETWEEN(1,2))
</f>
        <v>Pickup</v>
      </c>
      <c r="N29" s="2">
        <f t="shared" si="9"/>
        <v>5</v>
      </c>
    </row>
    <row r="30">
      <c r="A30" s="2">
        <f t="shared" si="1"/>
        <v>29</v>
      </c>
      <c r="B30" s="3">
        <f t="shared" si="2"/>
        <v>45379</v>
      </c>
      <c r="C30" s="3">
        <f t="shared" si="3"/>
        <v>45392</v>
      </c>
      <c r="D30" s="3" t="str">
        <f t="shared" si="4"/>
        <v>Completed</v>
      </c>
      <c r="E30" s="2">
        <f t="shared" si="5"/>
        <v>13</v>
      </c>
      <c r="F30" s="2" t="str">
        <f t="array" ref="F30">INDEX(lists!F:F,RANDBETWEEN(1,6))
</f>
        <v>Household Essentials</v>
      </c>
      <c r="G30" s="2" t="str">
        <f t="array" ref="G30">IFS(
F30="Bedroom",INDEX(lists!G:G,RANDBETWEEN(1,4)),
F30="Living Room",INDEX(lists!H:H,RANDBETWEEN(1,4)),
F30="Dining",INDEX(lists!I:I,RANDBETWEEN(1,2)),
F30="Kitchen",INDEX(lists!J:J,RANDBETWEEN(1,4)),
F30="Office",INDEX(lists!K:K,RANDBETWEEN(1,3)),
F30="Household Essentials",INDEX(lists!L:L,RANDBETWEEN(1,3))
)
</f>
        <v>Lamps</v>
      </c>
      <c r="H30" s="2">
        <f t="shared" si="6"/>
        <v>2</v>
      </c>
      <c r="I30" s="2">
        <f t="shared" si="7"/>
        <v>1</v>
      </c>
      <c r="J30" s="2" t="str">
        <f t="array" ref="J30">INDEX(lists!A:A,RANDBETWEEN(1,19))
</f>
        <v>Center for Real Estate Studies</v>
      </c>
      <c r="K30" s="2" t="str">
        <f t="array" ref="K30">INDEX(lists!N:N,RANDBETWEEN(1,6))
</f>
        <v>Scarborough</v>
      </c>
      <c r="L30" s="2">
        <f t="shared" si="8"/>
        <v>6</v>
      </c>
      <c r="M30" s="2" t="str">
        <f t="array" ref="M30">INDEX(lists!O:O,RANDBETWEEN(1,2))
</f>
        <v>Pickup</v>
      </c>
      <c r="N30" s="2">
        <f t="shared" si="9"/>
        <v>2</v>
      </c>
    </row>
    <row r="31">
      <c r="A31" s="2">
        <f t="shared" si="1"/>
        <v>30</v>
      </c>
      <c r="B31" s="3">
        <f t="shared" si="2"/>
        <v>45605</v>
      </c>
      <c r="C31" s="3">
        <f t="shared" si="3"/>
        <v>45613</v>
      </c>
      <c r="D31" s="3" t="str">
        <f t="shared" si="4"/>
        <v>Completed</v>
      </c>
      <c r="E31" s="2">
        <f t="shared" si="5"/>
        <v>8</v>
      </c>
      <c r="F31" s="2" t="str">
        <f t="array" ref="F31">INDEX(lists!F:F,RANDBETWEEN(1,6))
</f>
        <v>Living Room</v>
      </c>
      <c r="G31" s="2" t="str">
        <f t="array" ref="G31">IFS(
F31="Bedroom",INDEX(lists!G:G,RANDBETWEEN(1,4)),
F31="Living Room",INDEX(lists!H:H,RANDBETWEEN(1,4)),
F31="Dining",INDEX(lists!I:I,RANDBETWEEN(1,2)),
F31="Kitchen",INDEX(lists!J:J,RANDBETWEEN(1,4)),
F31="Office",INDEX(lists!K:K,RANDBETWEEN(1,3)),
F31="Household Essentials",INDEX(lists!L:L,RANDBETWEEN(1,3))
)
</f>
        <v>TV Stand</v>
      </c>
      <c r="H31" s="2">
        <f t="shared" si="6"/>
        <v>3</v>
      </c>
      <c r="I31" s="2">
        <f t="shared" si="7"/>
        <v>1</v>
      </c>
      <c r="J31" s="2" t="str">
        <f t="array" ref="J31">INDEX(lists!A:A,RANDBETWEEN(1,19))
</f>
        <v>NewHeight Group</v>
      </c>
      <c r="K31" s="2" t="str">
        <f t="array" ref="K31">INDEX(lists!N:N,RANDBETWEEN(1,6))
</f>
        <v>Scarborough</v>
      </c>
      <c r="L31" s="2">
        <f t="shared" si="8"/>
        <v>2</v>
      </c>
      <c r="M31" s="2" t="str">
        <f t="array" ref="M31">INDEX(lists!O:O,RANDBETWEEN(1,2))
</f>
        <v>Pickup</v>
      </c>
      <c r="N31" s="2">
        <f t="shared" si="9"/>
        <v>5</v>
      </c>
    </row>
    <row r="32">
      <c r="A32" s="2">
        <f t="shared" si="1"/>
        <v>31</v>
      </c>
      <c r="B32" s="3">
        <f t="shared" si="2"/>
        <v>45481</v>
      </c>
      <c r="C32" s="3">
        <f t="shared" si="3"/>
        <v>45524</v>
      </c>
      <c r="D32" s="3" t="str">
        <f t="shared" si="4"/>
        <v>Completed</v>
      </c>
      <c r="E32" s="2">
        <f t="shared" si="5"/>
        <v>43</v>
      </c>
      <c r="F32" s="2" t="str">
        <f t="array" ref="F32">INDEX(lists!F:F,RANDBETWEEN(1,6))
</f>
        <v>Dining</v>
      </c>
      <c r="G32" s="2" t="str">
        <f t="array" ref="G32">IFS(
F32="Bedroom",INDEX(lists!G:G,RANDBETWEEN(1,4)),
F32="Living Room",INDEX(lists!H:H,RANDBETWEEN(1,4)),
F32="Dining",INDEX(lists!I:I,RANDBETWEEN(1,2)),
F32="Kitchen",INDEX(lists!J:J,RANDBETWEEN(1,4)),
F32="Office",INDEX(lists!K:K,RANDBETWEEN(1,3)),
F32="Household Essentials",INDEX(lists!L:L,RANDBETWEEN(1,3))
)
</f>
        <v>Dining Table</v>
      </c>
      <c r="H32" s="2">
        <f t="shared" si="6"/>
        <v>3</v>
      </c>
      <c r="I32" s="2">
        <f t="shared" si="7"/>
        <v>3</v>
      </c>
      <c r="J32" s="2" t="str">
        <f t="array" ref="J32">INDEX(lists!A:A,RANDBETWEEN(1,19))
</f>
        <v>Shutterbugs 4 Charity</v>
      </c>
      <c r="K32" s="2" t="str">
        <f t="array" ref="K32">INDEX(lists!N:N,RANDBETWEEN(1,6))
</f>
        <v>Falmouth</v>
      </c>
      <c r="L32" s="2">
        <f t="shared" si="8"/>
        <v>4</v>
      </c>
      <c r="M32" s="2" t="str">
        <f t="array" ref="M32">INDEX(lists!O:O,RANDBETWEEN(1,2))
</f>
        <v>Delivery</v>
      </c>
      <c r="N32" s="2">
        <f t="shared" si="9"/>
        <v>3</v>
      </c>
    </row>
    <row r="33">
      <c r="A33" s="2">
        <f t="shared" si="1"/>
        <v>32</v>
      </c>
      <c r="B33" s="3">
        <f t="shared" si="2"/>
        <v>45567</v>
      </c>
      <c r="C33" s="3">
        <f t="shared" si="3"/>
        <v>45568</v>
      </c>
      <c r="D33" s="3" t="str">
        <f t="shared" si="4"/>
        <v>Completed</v>
      </c>
      <c r="E33" s="2">
        <f t="shared" si="5"/>
        <v>1</v>
      </c>
      <c r="F33" s="2" t="str">
        <f t="array" ref="F33">INDEX(lists!F:F,RANDBETWEEN(1,6))
</f>
        <v>Office</v>
      </c>
      <c r="G33" s="2" t="str">
        <f t="array" ref="G33">IFS(
F33="Bedroom",INDEX(lists!G:G,RANDBETWEEN(1,4)),
F33="Living Room",INDEX(lists!H:H,RANDBETWEEN(1,4)),
F33="Dining",INDEX(lists!I:I,RANDBETWEEN(1,2)),
F33="Kitchen",INDEX(lists!J:J,RANDBETWEEN(1,4)),
F33="Office",INDEX(lists!K:K,RANDBETWEEN(1,3)),
F33="Household Essentials",INDEX(lists!L:L,RANDBETWEEN(1,3))
)
</f>
        <v>Bookshelf</v>
      </c>
      <c r="H33" s="2">
        <f t="shared" si="6"/>
        <v>1</v>
      </c>
      <c r="I33" s="2">
        <f t="shared" si="7"/>
        <v>1</v>
      </c>
      <c r="J33" s="2" t="str">
        <f t="array" ref="J33">INDEX(lists!A:A,RANDBETWEEN(1,19))
</f>
        <v>Systems Engineering</v>
      </c>
      <c r="K33" s="2" t="str">
        <f t="array" ref="K33">INDEX(lists!N:N,RANDBETWEEN(1,6))
</f>
        <v>Biddeford</v>
      </c>
      <c r="L33" s="2">
        <f t="shared" si="8"/>
        <v>1</v>
      </c>
      <c r="M33" s="2" t="str">
        <f t="array" ref="M33">INDEX(lists!O:O,RANDBETWEEN(1,2))
</f>
        <v>Delivery</v>
      </c>
      <c r="N33" s="2">
        <f t="shared" si="9"/>
        <v>4</v>
      </c>
    </row>
    <row r="34">
      <c r="A34" s="2">
        <f t="shared" si="1"/>
        <v>33</v>
      </c>
      <c r="B34" s="3">
        <f t="shared" si="2"/>
        <v>45491</v>
      </c>
      <c r="C34" s="3">
        <f t="shared" si="3"/>
        <v>45501</v>
      </c>
      <c r="D34" s="3" t="str">
        <f t="shared" si="4"/>
        <v>Completed</v>
      </c>
      <c r="E34" s="2">
        <f t="shared" si="5"/>
        <v>10</v>
      </c>
      <c r="F34" s="2" t="str">
        <f t="array" ref="F34">INDEX(lists!F:F,RANDBETWEEN(1,6))
</f>
        <v>Kitchen</v>
      </c>
      <c r="G34" s="2" t="str">
        <f t="array" ref="G34">IFS(
F34="Bedroom",INDEX(lists!G:G,RANDBETWEEN(1,4)),
F34="Living Room",INDEX(lists!H:H,RANDBETWEEN(1,4)),
F34="Dining",INDEX(lists!I:I,RANDBETWEEN(1,2)),
F34="Kitchen",INDEX(lists!J:J,RANDBETWEEN(1,4)),
F34="Office",INDEX(lists!K:K,RANDBETWEEN(1,3)),
F34="Household Essentials",INDEX(lists!L:L,RANDBETWEEN(1,3))
)
</f>
        <v>Dishes</v>
      </c>
      <c r="H34" s="2">
        <f t="shared" si="6"/>
        <v>1</v>
      </c>
      <c r="I34" s="2">
        <f t="shared" si="7"/>
        <v>1</v>
      </c>
      <c r="J34" s="2" t="str">
        <f t="array" ref="J34">INDEX(lists!A:A,RANDBETWEEN(1,19))
</f>
        <v>GoGo Refill</v>
      </c>
      <c r="K34" s="2" t="str">
        <f t="array" ref="K34">INDEX(lists!N:N,RANDBETWEEN(1,6))
</f>
        <v>Portland</v>
      </c>
      <c r="L34" s="2">
        <f t="shared" si="8"/>
        <v>2</v>
      </c>
      <c r="M34" s="2" t="str">
        <f t="array" ref="M34">INDEX(lists!O:O,RANDBETWEEN(1,2))
</f>
        <v>Pickup</v>
      </c>
      <c r="N34" s="2">
        <f t="shared" si="9"/>
        <v>3</v>
      </c>
    </row>
    <row r="35">
      <c r="A35" s="2">
        <f t="shared" si="1"/>
        <v>34</v>
      </c>
      <c r="B35" s="3">
        <f t="shared" si="2"/>
        <v>45806</v>
      </c>
      <c r="C35" s="3">
        <f t="shared" si="3"/>
        <v>45842</v>
      </c>
      <c r="D35" s="3" t="str">
        <f t="shared" si="4"/>
        <v>Completed</v>
      </c>
      <c r="E35" s="2">
        <f t="shared" si="5"/>
        <v>36</v>
      </c>
      <c r="F35" s="2" t="str">
        <f t="array" ref="F35">INDEX(lists!F:F,RANDBETWEEN(1,6))
</f>
        <v>Kitchen</v>
      </c>
      <c r="G35" s="2" t="str">
        <f t="array" ref="G35">IFS(
F35="Bedroom",INDEX(lists!G:G,RANDBETWEEN(1,4)),
F35="Living Room",INDEX(lists!H:H,RANDBETWEEN(1,4)),
F35="Dining",INDEX(lists!I:I,RANDBETWEEN(1,2)),
F35="Kitchen",INDEX(lists!J:J,RANDBETWEEN(1,4)),
F35="Office",INDEX(lists!K:K,RANDBETWEEN(1,3)),
F35="Household Essentials",INDEX(lists!L:L,RANDBETWEEN(1,3))
)
</f>
        <v>Microwave</v>
      </c>
      <c r="H35" s="2">
        <f t="shared" si="6"/>
        <v>2</v>
      </c>
      <c r="I35" s="2">
        <f t="shared" si="7"/>
        <v>1</v>
      </c>
      <c r="J35" s="2" t="str">
        <f t="array" ref="J35">INDEX(lists!A:A,RANDBETWEEN(1,19))
</f>
        <v>Keybank</v>
      </c>
      <c r="K35" s="2" t="str">
        <f t="array" ref="K35">INDEX(lists!N:N,RANDBETWEEN(1,6))
</f>
        <v>Biddeford</v>
      </c>
      <c r="L35" s="2">
        <f t="shared" si="8"/>
        <v>6</v>
      </c>
      <c r="M35" s="2" t="str">
        <f t="array" ref="M35">INDEX(lists!O:O,RANDBETWEEN(1,2))
</f>
        <v>Pickup</v>
      </c>
      <c r="N35" s="2">
        <f t="shared" si="9"/>
        <v>3</v>
      </c>
    </row>
    <row r="36">
      <c r="A36" s="2">
        <f t="shared" si="1"/>
        <v>35</v>
      </c>
      <c r="B36" s="3">
        <f t="shared" si="2"/>
        <v>45685</v>
      </c>
      <c r="C36" s="3">
        <f t="shared" si="3"/>
        <v>45708</v>
      </c>
      <c r="D36" s="3" t="str">
        <f t="shared" si="4"/>
        <v>Completed</v>
      </c>
      <c r="E36" s="2">
        <f t="shared" si="5"/>
        <v>23</v>
      </c>
      <c r="F36" s="2" t="str">
        <f t="array" ref="F36">INDEX(lists!F:F,RANDBETWEEN(1,6))
</f>
        <v>Living Room</v>
      </c>
      <c r="G36" s="2" t="str">
        <f t="array" ref="G36">IFS(
F36="Bedroom",INDEX(lists!G:G,RANDBETWEEN(1,4)),
F36="Living Room",INDEX(lists!H:H,RANDBETWEEN(1,4)),
F36="Dining",INDEX(lists!I:I,RANDBETWEEN(1,2)),
F36="Kitchen",INDEX(lists!J:J,RANDBETWEEN(1,4)),
F36="Office",INDEX(lists!K:K,RANDBETWEEN(1,3)),
F36="Household Essentials",INDEX(lists!L:L,RANDBETWEEN(1,3))
)
</f>
        <v>TV Stand</v>
      </c>
      <c r="H36" s="2">
        <f t="shared" si="6"/>
        <v>3</v>
      </c>
      <c r="I36" s="2">
        <f t="shared" si="7"/>
        <v>2</v>
      </c>
      <c r="J36" s="2" t="str">
        <f t="array" ref="J36">INDEX(lists!A:A,RANDBETWEEN(1,19))
</f>
        <v>Developers Collaborative</v>
      </c>
      <c r="K36" s="2" t="str">
        <f t="array" ref="K36">INDEX(lists!N:N,RANDBETWEEN(1,6))
</f>
        <v>Westbrook</v>
      </c>
      <c r="L36" s="2">
        <f t="shared" si="8"/>
        <v>1</v>
      </c>
      <c r="M36" s="2" t="str">
        <f t="array" ref="M36">INDEX(lists!O:O,RANDBETWEEN(1,2))
</f>
        <v>Pickup</v>
      </c>
      <c r="N36" s="2">
        <f t="shared" si="9"/>
        <v>5</v>
      </c>
    </row>
    <row r="37">
      <c r="A37" s="2">
        <f t="shared" si="1"/>
        <v>36</v>
      </c>
      <c r="B37" s="3">
        <f t="shared" si="2"/>
        <v>45633</v>
      </c>
      <c r="C37" s="3">
        <f t="shared" si="3"/>
        <v>45644</v>
      </c>
      <c r="D37" s="3" t="str">
        <f t="shared" si="4"/>
        <v>Completed</v>
      </c>
      <c r="E37" s="2">
        <f t="shared" si="5"/>
        <v>11</v>
      </c>
      <c r="F37" s="2" t="str">
        <f t="array" ref="F37">INDEX(lists!F:F,RANDBETWEEN(1,6))
</f>
        <v>Dining</v>
      </c>
      <c r="G37" s="2" t="str">
        <f t="array" ref="G37">IFS(
F37="Bedroom",INDEX(lists!G:G,RANDBETWEEN(1,4)),
F37="Living Room",INDEX(lists!H:H,RANDBETWEEN(1,4)),
F37="Dining",INDEX(lists!I:I,RANDBETWEEN(1,2)),
F37="Kitchen",INDEX(lists!J:J,RANDBETWEEN(1,4)),
F37="Office",INDEX(lists!K:K,RANDBETWEEN(1,3)),
F37="Household Essentials",INDEX(lists!L:L,RANDBETWEEN(1,3))
)
</f>
        <v>Dining Table</v>
      </c>
      <c r="H37" s="2">
        <f t="shared" si="6"/>
        <v>3</v>
      </c>
      <c r="I37" s="2">
        <f t="shared" si="7"/>
        <v>3</v>
      </c>
      <c r="J37" s="2" t="str">
        <f t="array" ref="J37">INDEX(lists!A:A,RANDBETWEEN(1,19))
</f>
        <v>Jordan's Furniture</v>
      </c>
      <c r="K37" s="2" t="str">
        <f t="array" ref="K37">INDEX(lists!N:N,RANDBETWEEN(1,6))
</f>
        <v>Falmouth</v>
      </c>
      <c r="L37" s="2">
        <f t="shared" si="8"/>
        <v>2</v>
      </c>
      <c r="M37" s="2" t="str">
        <f t="array" ref="M37">INDEX(lists!O:O,RANDBETWEEN(1,2))
</f>
        <v>Pickup</v>
      </c>
      <c r="N37" s="2">
        <f t="shared" si="9"/>
        <v>1</v>
      </c>
    </row>
    <row r="38">
      <c r="A38" s="2">
        <f t="shared" si="1"/>
        <v>37</v>
      </c>
      <c r="B38" s="3">
        <f t="shared" si="2"/>
        <v>45367</v>
      </c>
      <c r="C38" s="3">
        <f t="shared" si="3"/>
        <v>45371</v>
      </c>
      <c r="D38" s="3" t="str">
        <f t="shared" si="4"/>
        <v>Completed</v>
      </c>
      <c r="E38" s="2">
        <f t="shared" si="5"/>
        <v>4</v>
      </c>
      <c r="F38" s="2" t="str">
        <f t="array" ref="F38">INDEX(lists!F:F,RANDBETWEEN(1,6))
</f>
        <v>Office</v>
      </c>
      <c r="G38" s="2" t="str">
        <f t="array" ref="G38">IFS(
F38="Bedroom",INDEX(lists!G:G,RANDBETWEEN(1,4)),
F38="Living Room",INDEX(lists!H:H,RANDBETWEEN(1,4)),
F38="Dining",INDEX(lists!I:I,RANDBETWEEN(1,2)),
F38="Kitchen",INDEX(lists!J:J,RANDBETWEEN(1,4)),
F38="Office",INDEX(lists!K:K,RANDBETWEEN(1,3)),
F38="Household Essentials",INDEX(lists!L:L,RANDBETWEEN(1,3))
)
</f>
        <v>Desk</v>
      </c>
      <c r="H38" s="2">
        <f t="shared" si="6"/>
        <v>3</v>
      </c>
      <c r="I38" s="2">
        <f t="shared" si="7"/>
        <v>3</v>
      </c>
      <c r="J38" s="2" t="str">
        <f t="array" ref="J38">INDEX(lists!A:A,RANDBETWEEN(1,19))
</f>
        <v>Coffee By Design</v>
      </c>
      <c r="K38" s="2" t="str">
        <f t="array" ref="K38">INDEX(lists!N:N,RANDBETWEEN(1,6))
</f>
        <v>Westbrook</v>
      </c>
      <c r="L38" s="2">
        <f t="shared" si="8"/>
        <v>5</v>
      </c>
      <c r="M38" s="2" t="str">
        <f t="array" ref="M38">INDEX(lists!O:O,RANDBETWEEN(1,2))
</f>
        <v>Delivery</v>
      </c>
      <c r="N38" s="2">
        <f t="shared" si="9"/>
        <v>4</v>
      </c>
    </row>
    <row r="39">
      <c r="A39" s="2">
        <f t="shared" si="1"/>
        <v>38</v>
      </c>
      <c r="B39" s="3">
        <f t="shared" si="2"/>
        <v>45741</v>
      </c>
      <c r="C39" s="3">
        <f t="shared" si="3"/>
        <v>45779</v>
      </c>
      <c r="D39" s="3" t="str">
        <f t="shared" si="4"/>
        <v>Completed</v>
      </c>
      <c r="E39" s="2">
        <f t="shared" si="5"/>
        <v>38</v>
      </c>
      <c r="F39" s="2" t="str">
        <f t="array" ref="F39">INDEX(lists!F:F,RANDBETWEEN(1,6))
</f>
        <v>Office</v>
      </c>
      <c r="G39" s="2" t="str">
        <f t="array" ref="G39">IFS(
F39="Bedroom",INDEX(lists!G:G,RANDBETWEEN(1,4)),
F39="Living Room",INDEX(lists!H:H,RANDBETWEEN(1,4)),
F39="Dining",INDEX(lists!I:I,RANDBETWEEN(1,2)),
F39="Kitchen",INDEX(lists!J:J,RANDBETWEEN(1,4)),
F39="Office",INDEX(lists!K:K,RANDBETWEEN(1,3)),
F39="Household Essentials",INDEX(lists!L:L,RANDBETWEEN(1,3))
)
</f>
        <v>Bookshelf</v>
      </c>
      <c r="H39" s="2">
        <f t="shared" si="6"/>
        <v>1</v>
      </c>
      <c r="I39" s="2">
        <f t="shared" si="7"/>
        <v>1</v>
      </c>
      <c r="J39" s="2" t="str">
        <f t="array" ref="J39">INDEX(lists!A:A,RANDBETWEEN(1,19))
</f>
        <v>Systems Engineering</v>
      </c>
      <c r="K39" s="2" t="str">
        <f t="array" ref="K39">INDEX(lists!N:N,RANDBETWEEN(1,6))
</f>
        <v>Falmouth</v>
      </c>
      <c r="L39" s="2">
        <f t="shared" si="8"/>
        <v>1</v>
      </c>
      <c r="M39" s="2" t="str">
        <f t="array" ref="M39">INDEX(lists!O:O,RANDBETWEEN(1,2))
</f>
        <v>Pickup</v>
      </c>
      <c r="N39" s="2">
        <f t="shared" si="9"/>
        <v>4</v>
      </c>
    </row>
    <row r="40">
      <c r="A40" s="2">
        <f t="shared" si="1"/>
        <v>39</v>
      </c>
      <c r="B40" s="3">
        <f t="shared" si="2"/>
        <v>45565</v>
      </c>
      <c r="C40" s="3">
        <f t="shared" si="3"/>
        <v>45572</v>
      </c>
      <c r="D40" s="3" t="str">
        <f t="shared" si="4"/>
        <v>Completed</v>
      </c>
      <c r="E40" s="2">
        <f t="shared" si="5"/>
        <v>7</v>
      </c>
      <c r="F40" s="2" t="str">
        <f t="array" ref="F40">INDEX(lists!F:F,RANDBETWEEN(1,6))
</f>
        <v>Bedroom</v>
      </c>
      <c r="G40" s="2" t="str">
        <f t="array" ref="G40">IFS(
F40="Bedroom",INDEX(lists!G:G,RANDBETWEEN(1,4)),
F40="Living Room",INDEX(lists!H:H,RANDBETWEEN(1,4)),
F40="Dining",INDEX(lists!I:I,RANDBETWEEN(1,2)),
F40="Kitchen",INDEX(lists!J:J,RANDBETWEEN(1,4)),
F40="Office",INDEX(lists!K:K,RANDBETWEEN(1,3)),
F40="Household Essentials",INDEX(lists!L:L,RANDBETWEEN(1,3))
)
</f>
        <v>Mattress</v>
      </c>
      <c r="H40" s="2">
        <f t="shared" si="6"/>
        <v>4</v>
      </c>
      <c r="I40" s="2">
        <f t="shared" si="7"/>
        <v>4</v>
      </c>
      <c r="J40" s="2" t="str">
        <f t="array" ref="J40">INDEX(lists!A:A,RANDBETWEEN(1,19))
</f>
        <v>Diversified</v>
      </c>
      <c r="K40" s="2" t="str">
        <f t="array" ref="K40">INDEX(lists!N:N,RANDBETWEEN(1,6))
</f>
        <v>Portland</v>
      </c>
      <c r="L40" s="2">
        <f t="shared" si="8"/>
        <v>2</v>
      </c>
      <c r="M40" s="2" t="str">
        <f t="array" ref="M40">INDEX(lists!O:O,RANDBETWEEN(1,2))
</f>
        <v>Delivery</v>
      </c>
      <c r="N40" s="2">
        <f t="shared" si="9"/>
        <v>5</v>
      </c>
    </row>
    <row r="41">
      <c r="A41" s="2">
        <f t="shared" si="1"/>
        <v>40</v>
      </c>
      <c r="B41" s="3">
        <f t="shared" si="2"/>
        <v>45508</v>
      </c>
      <c r="C41" s="3">
        <f t="shared" si="3"/>
        <v>45516</v>
      </c>
      <c r="D41" s="3" t="str">
        <f t="shared" si="4"/>
        <v>Completed</v>
      </c>
      <c r="E41" s="2">
        <f t="shared" si="5"/>
        <v>8</v>
      </c>
      <c r="F41" s="2" t="str">
        <f t="array" ref="F41">INDEX(lists!F:F,RANDBETWEEN(1,6))
</f>
        <v>Bedroom</v>
      </c>
      <c r="G41" s="2" t="str">
        <f t="array" ref="G41">IFS(
F41="Bedroom",INDEX(lists!G:G,RANDBETWEEN(1,4)),
F41="Living Room",INDEX(lists!H:H,RANDBETWEEN(1,4)),
F41="Dining",INDEX(lists!I:I,RANDBETWEEN(1,2)),
F41="Kitchen",INDEX(lists!J:J,RANDBETWEEN(1,4)),
F41="Office",INDEX(lists!K:K,RANDBETWEEN(1,3)),
F41="Household Essentials",INDEX(lists!L:L,RANDBETWEEN(1,3))
)
</f>
        <v>Bed Frame</v>
      </c>
      <c r="H41" s="2">
        <f t="shared" si="6"/>
        <v>3</v>
      </c>
      <c r="I41" s="2">
        <f t="shared" si="7"/>
        <v>2</v>
      </c>
      <c r="J41" s="2" t="str">
        <f t="array" ref="J41">INDEX(lists!A:A,RANDBETWEEN(1,19))
</f>
        <v>Developers Collaborative</v>
      </c>
      <c r="K41" s="2" t="str">
        <f t="array" ref="K41">INDEX(lists!N:N,RANDBETWEEN(1,6))
</f>
        <v>Falmouth</v>
      </c>
      <c r="L41" s="2">
        <f t="shared" si="8"/>
        <v>5</v>
      </c>
      <c r="M41" s="2" t="str">
        <f t="array" ref="M41">INDEX(lists!O:O,RANDBETWEEN(1,2))
</f>
        <v>Pickup</v>
      </c>
      <c r="N41" s="2">
        <f t="shared" si="9"/>
        <v>5</v>
      </c>
    </row>
    <row r="42">
      <c r="A42" s="2">
        <f t="shared" si="1"/>
        <v>41</v>
      </c>
      <c r="B42" s="3">
        <f t="shared" si="2"/>
        <v>45576</v>
      </c>
      <c r="C42" s="3" t="str">
        <f t="shared" si="3"/>
        <v/>
      </c>
      <c r="D42" s="3" t="str">
        <f t="shared" si="4"/>
        <v>Pending</v>
      </c>
      <c r="E42" s="2" t="str">
        <f t="shared" si="5"/>
        <v/>
      </c>
      <c r="F42" s="2" t="str">
        <f t="array" ref="F42">INDEX(lists!F:F,RANDBETWEEN(1,6))
</f>
        <v>Household Essentials</v>
      </c>
      <c r="G42" s="2" t="str">
        <f t="array" ref="G42">IFS(
F42="Bedroom",INDEX(lists!G:G,RANDBETWEEN(1,4)),
F42="Living Room",INDEX(lists!H:H,RANDBETWEEN(1,4)),
F42="Dining",INDEX(lists!I:I,RANDBETWEEN(1,2)),
F42="Kitchen",INDEX(lists!J:J,RANDBETWEEN(1,4)),
F42="Office",INDEX(lists!K:K,RANDBETWEEN(1,3)),
F42="Household Essentials",INDEX(lists!L:L,RANDBETWEEN(1,3))
)
</f>
        <v>Bedding</v>
      </c>
      <c r="H42" s="2">
        <f t="shared" si="6"/>
        <v>4</v>
      </c>
      <c r="I42" s="2" t="str">
        <f t="shared" si="7"/>
        <v/>
      </c>
      <c r="J42" s="2" t="str">
        <f t="array" ref="J42">INDEX(lists!A:A,RANDBETWEEN(1,19))
</f>
        <v>Systems Engineering</v>
      </c>
      <c r="K42" s="2" t="str">
        <f t="array" ref="K42">INDEX(lists!N:N,RANDBETWEEN(1,6))
</f>
        <v>Biddeford</v>
      </c>
      <c r="L42" s="2">
        <f t="shared" si="8"/>
        <v>3</v>
      </c>
      <c r="M42" s="2" t="str">
        <f t="array" ref="M42">INDEX(lists!O:O,RANDBETWEEN(1,2))
</f>
        <v>Pickup</v>
      </c>
      <c r="N42" s="2">
        <f t="shared" si="9"/>
        <v>2</v>
      </c>
    </row>
    <row r="43">
      <c r="A43" s="2">
        <f t="shared" si="1"/>
        <v>42</v>
      </c>
      <c r="B43" s="3">
        <f t="shared" si="2"/>
        <v>45648</v>
      </c>
      <c r="C43" s="3">
        <f t="shared" si="3"/>
        <v>45682</v>
      </c>
      <c r="D43" s="3" t="str">
        <f t="shared" si="4"/>
        <v>Completed</v>
      </c>
      <c r="E43" s="2">
        <f t="shared" si="5"/>
        <v>34</v>
      </c>
      <c r="F43" s="2" t="str">
        <f t="array" ref="F43">INDEX(lists!F:F,RANDBETWEEN(1,6))
</f>
        <v>Office</v>
      </c>
      <c r="G43" s="2" t="str">
        <f t="array" ref="G43">IFS(
F43="Bedroom",INDEX(lists!G:G,RANDBETWEEN(1,4)),
F43="Living Room",INDEX(lists!H:H,RANDBETWEEN(1,4)),
F43="Dining",INDEX(lists!I:I,RANDBETWEEN(1,2)),
F43="Kitchen",INDEX(lists!J:J,RANDBETWEEN(1,4)),
F43="Office",INDEX(lists!K:K,RANDBETWEEN(1,3)),
F43="Household Essentials",INDEX(lists!L:L,RANDBETWEEN(1,3))
)
</f>
        <v>Bookshelf</v>
      </c>
      <c r="H43" s="2">
        <f t="shared" si="6"/>
        <v>4</v>
      </c>
      <c r="I43" s="2">
        <f t="shared" si="7"/>
        <v>4</v>
      </c>
      <c r="J43" s="2" t="str">
        <f t="array" ref="J43">INDEX(lists!A:A,RANDBETWEEN(1,19))
</f>
        <v>Coffee By Design</v>
      </c>
      <c r="K43" s="2" t="str">
        <f t="array" ref="K43">INDEX(lists!N:N,RANDBETWEEN(1,6))
</f>
        <v>South Portland</v>
      </c>
      <c r="L43" s="2">
        <f t="shared" si="8"/>
        <v>4</v>
      </c>
      <c r="M43" s="2" t="str">
        <f t="array" ref="M43">INDEX(lists!O:O,RANDBETWEEN(1,2))
</f>
        <v>Delivery</v>
      </c>
      <c r="N43" s="2">
        <f t="shared" si="9"/>
        <v>3</v>
      </c>
    </row>
    <row r="44">
      <c r="A44" s="2">
        <f t="shared" si="1"/>
        <v>43</v>
      </c>
      <c r="B44" s="3">
        <f t="shared" si="2"/>
        <v>45325</v>
      </c>
      <c r="C44" s="3">
        <f t="shared" si="3"/>
        <v>45336</v>
      </c>
      <c r="D44" s="3" t="str">
        <f t="shared" si="4"/>
        <v>Completed</v>
      </c>
      <c r="E44" s="2">
        <f t="shared" si="5"/>
        <v>11</v>
      </c>
      <c r="F44" s="2" t="str">
        <f t="array" ref="F44">INDEX(lists!F:F,RANDBETWEEN(1,6))
</f>
        <v>Kitchen</v>
      </c>
      <c r="G44" s="2" t="str">
        <f t="array" ref="G44">IFS(
F44="Bedroom",INDEX(lists!G:G,RANDBETWEEN(1,4)),
F44="Living Room",INDEX(lists!H:H,RANDBETWEEN(1,4)),
F44="Dining",INDEX(lists!I:I,RANDBETWEEN(1,2)),
F44="Kitchen",INDEX(lists!J:J,RANDBETWEEN(1,4)),
F44="Office",INDEX(lists!K:K,RANDBETWEEN(1,3)),
F44="Household Essentials",INDEX(lists!L:L,RANDBETWEEN(1,3))
)
</f>
        <v>Dishes</v>
      </c>
      <c r="H44" s="2">
        <f t="shared" si="6"/>
        <v>4</v>
      </c>
      <c r="I44" s="2">
        <f t="shared" si="7"/>
        <v>2</v>
      </c>
      <c r="J44" s="2" t="str">
        <f t="array" ref="J44">INDEX(lists!A:A,RANDBETWEEN(1,19))
</f>
        <v>Coffee By Design</v>
      </c>
      <c r="K44" s="2" t="str">
        <f t="array" ref="K44">INDEX(lists!N:N,RANDBETWEEN(1,6))
</f>
        <v>Biddeford</v>
      </c>
      <c r="L44" s="2">
        <f t="shared" si="8"/>
        <v>4</v>
      </c>
      <c r="M44" s="2" t="str">
        <f t="array" ref="M44">INDEX(lists!O:O,RANDBETWEEN(1,2))
</f>
        <v>Pickup</v>
      </c>
      <c r="N44" s="2">
        <f t="shared" si="9"/>
        <v>5</v>
      </c>
    </row>
    <row r="45">
      <c r="A45" s="2">
        <f t="shared" si="1"/>
        <v>44</v>
      </c>
      <c r="B45" s="3">
        <f t="shared" si="2"/>
        <v>45826</v>
      </c>
      <c r="C45" s="3">
        <f t="shared" si="3"/>
        <v>45834</v>
      </c>
      <c r="D45" s="3" t="str">
        <f t="shared" si="4"/>
        <v>Completed</v>
      </c>
      <c r="E45" s="2">
        <f t="shared" si="5"/>
        <v>8</v>
      </c>
      <c r="F45" s="2" t="str">
        <f t="array" ref="F45">INDEX(lists!F:F,RANDBETWEEN(1,6))
</f>
        <v>Dining</v>
      </c>
      <c r="G45" s="2" t="str">
        <f t="array" ref="G45">IFS(
F45="Bedroom",INDEX(lists!G:G,RANDBETWEEN(1,4)),
F45="Living Room",INDEX(lists!H:H,RANDBETWEEN(1,4)),
F45="Dining",INDEX(lists!I:I,RANDBETWEEN(1,2)),
F45="Kitchen",INDEX(lists!J:J,RANDBETWEEN(1,4)),
F45="Office",INDEX(lists!K:K,RANDBETWEEN(1,3)),
F45="Household Essentials",INDEX(lists!L:L,RANDBETWEEN(1,3))
)
</f>
        <v>Dining Chair</v>
      </c>
      <c r="H45" s="2">
        <f t="shared" si="6"/>
        <v>4</v>
      </c>
      <c r="I45" s="2">
        <f t="shared" si="7"/>
        <v>2</v>
      </c>
      <c r="J45" s="2" t="str">
        <f t="array" ref="J45">INDEX(lists!A:A,RANDBETWEEN(1,19))
</f>
        <v>Developers Collaborative</v>
      </c>
      <c r="K45" s="2" t="str">
        <f t="array" ref="K45">INDEX(lists!N:N,RANDBETWEEN(1,6))
</f>
        <v>Biddeford</v>
      </c>
      <c r="L45" s="2">
        <f t="shared" si="8"/>
        <v>5</v>
      </c>
      <c r="M45" s="2" t="str">
        <f t="array" ref="M45">INDEX(lists!O:O,RANDBETWEEN(1,2))
</f>
        <v>Delivery</v>
      </c>
      <c r="N45" s="2">
        <f t="shared" si="9"/>
        <v>4</v>
      </c>
    </row>
    <row r="46">
      <c r="A46" s="2">
        <f t="shared" si="1"/>
        <v>45</v>
      </c>
      <c r="B46" s="3">
        <f t="shared" si="2"/>
        <v>45824</v>
      </c>
      <c r="C46" s="3">
        <f t="shared" si="3"/>
        <v>45834</v>
      </c>
      <c r="D46" s="3" t="str">
        <f t="shared" si="4"/>
        <v>Completed</v>
      </c>
      <c r="E46" s="2">
        <f t="shared" si="5"/>
        <v>10</v>
      </c>
      <c r="F46" s="2" t="str">
        <f t="array" ref="F46">INDEX(lists!F:F,RANDBETWEEN(1,6))
</f>
        <v>Kitchen</v>
      </c>
      <c r="G46" s="2" t="str">
        <f t="array" ref="G46">IFS(
F46="Bedroom",INDEX(lists!G:G,RANDBETWEEN(1,4)),
F46="Living Room",INDEX(lists!H:H,RANDBETWEEN(1,4)),
F46="Dining",INDEX(lists!I:I,RANDBETWEEN(1,2)),
F46="Kitchen",INDEX(lists!J:J,RANDBETWEEN(1,4)),
F46="Office",INDEX(lists!K:K,RANDBETWEEN(1,3)),
F46="Household Essentials",INDEX(lists!L:L,RANDBETWEEN(1,3))
)
</f>
        <v>Small Appliances</v>
      </c>
      <c r="H46" s="2">
        <f t="shared" si="6"/>
        <v>2</v>
      </c>
      <c r="I46" s="2">
        <f t="shared" si="7"/>
        <v>1</v>
      </c>
      <c r="J46" s="2" t="str">
        <f t="array" ref="J46">INDEX(lists!A:A,RANDBETWEEN(1,19))
</f>
        <v>Westbrook Housing</v>
      </c>
      <c r="K46" s="2" t="str">
        <f t="array" ref="K46">INDEX(lists!N:N,RANDBETWEEN(1,6))
</f>
        <v>Scarborough</v>
      </c>
      <c r="L46" s="2">
        <f t="shared" si="8"/>
        <v>2</v>
      </c>
      <c r="M46" s="2" t="str">
        <f t="array" ref="M46">INDEX(lists!O:O,RANDBETWEEN(1,2))
</f>
        <v>Delivery</v>
      </c>
      <c r="N46" s="2">
        <f t="shared" si="9"/>
        <v>6</v>
      </c>
    </row>
    <row r="47">
      <c r="A47" s="2">
        <f t="shared" si="1"/>
        <v>46</v>
      </c>
      <c r="B47" s="3">
        <f t="shared" si="2"/>
        <v>45481</v>
      </c>
      <c r="C47" s="3">
        <f t="shared" si="3"/>
        <v>45482</v>
      </c>
      <c r="D47" s="3" t="str">
        <f t="shared" si="4"/>
        <v>Completed</v>
      </c>
      <c r="E47" s="2">
        <f t="shared" si="5"/>
        <v>1</v>
      </c>
      <c r="F47" s="2" t="str">
        <f t="array" ref="F47">INDEX(lists!F:F,RANDBETWEEN(1,6))
</f>
        <v>Living Room</v>
      </c>
      <c r="G47" s="2" t="str">
        <f t="array" ref="G47">IFS(
F47="Bedroom",INDEX(lists!G:G,RANDBETWEEN(1,4)),
F47="Living Room",INDEX(lists!H:H,RANDBETWEEN(1,4)),
F47="Dining",INDEX(lists!I:I,RANDBETWEEN(1,2)),
F47="Kitchen",INDEX(lists!J:J,RANDBETWEEN(1,4)),
F47="Office",INDEX(lists!K:K,RANDBETWEEN(1,3)),
F47="Household Essentials",INDEX(lists!L:L,RANDBETWEEN(1,3))
)
</f>
        <v>Armchair</v>
      </c>
      <c r="H47" s="2">
        <f t="shared" si="6"/>
        <v>2</v>
      </c>
      <c r="I47" s="2">
        <f t="shared" si="7"/>
        <v>1</v>
      </c>
      <c r="J47" s="2" t="str">
        <f t="array" ref="J47">INDEX(lists!A:A,RANDBETWEEN(1,19))
</f>
        <v>Portland Mattress Makers</v>
      </c>
      <c r="K47" s="2" t="str">
        <f t="array" ref="K47">INDEX(lists!N:N,RANDBETWEEN(1,6))
</f>
        <v>Falmouth</v>
      </c>
      <c r="L47" s="2">
        <f t="shared" si="8"/>
        <v>3</v>
      </c>
      <c r="M47" s="2" t="str">
        <f t="array" ref="M47">INDEX(lists!O:O,RANDBETWEEN(1,2))
</f>
        <v>Pickup</v>
      </c>
      <c r="N47" s="2">
        <f t="shared" si="9"/>
        <v>6</v>
      </c>
    </row>
    <row r="48">
      <c r="A48" s="2">
        <f t="shared" si="1"/>
        <v>47</v>
      </c>
      <c r="B48" s="3">
        <f t="shared" si="2"/>
        <v>45578</v>
      </c>
      <c r="C48" s="3">
        <f t="shared" si="3"/>
        <v>45617</v>
      </c>
      <c r="D48" s="3" t="str">
        <f t="shared" si="4"/>
        <v>Completed</v>
      </c>
      <c r="E48" s="2">
        <f t="shared" si="5"/>
        <v>39</v>
      </c>
      <c r="F48" s="2" t="str">
        <f t="array" ref="F48">INDEX(lists!F:F,RANDBETWEEN(1,6))
</f>
        <v>Household Essentials</v>
      </c>
      <c r="G48" s="2" t="str">
        <f t="array" ref="G48">IFS(
F48="Bedroom",INDEX(lists!G:G,RANDBETWEEN(1,4)),
F48="Living Room",INDEX(lists!H:H,RANDBETWEEN(1,4)),
F48="Dining",INDEX(lists!I:I,RANDBETWEEN(1,2)),
F48="Kitchen",INDEX(lists!J:J,RANDBETWEEN(1,4)),
F48="Office",INDEX(lists!K:K,RANDBETWEEN(1,3)),
F48="Household Essentials",INDEX(lists!L:L,RANDBETWEEN(1,3))
)
</f>
        <v>Lamps</v>
      </c>
      <c r="H48" s="2">
        <f t="shared" si="6"/>
        <v>2</v>
      </c>
      <c r="I48" s="2">
        <f t="shared" si="7"/>
        <v>2</v>
      </c>
      <c r="J48" s="2" t="str">
        <f t="array" ref="J48">INDEX(lists!A:A,RANDBETWEEN(1,19))
</f>
        <v>Developers Collaborative</v>
      </c>
      <c r="K48" s="2" t="str">
        <f t="array" ref="K48">INDEX(lists!N:N,RANDBETWEEN(1,6))
</f>
        <v>South Portland</v>
      </c>
      <c r="L48" s="2">
        <f t="shared" si="8"/>
        <v>1</v>
      </c>
      <c r="M48" s="2" t="str">
        <f t="array" ref="M48">INDEX(lists!O:O,RANDBETWEEN(1,2))
</f>
        <v>Pickup</v>
      </c>
      <c r="N48" s="2">
        <f t="shared" si="9"/>
        <v>4</v>
      </c>
    </row>
    <row r="49">
      <c r="A49" s="2">
        <f t="shared" si="1"/>
        <v>48</v>
      </c>
      <c r="B49" s="3">
        <f t="shared" si="2"/>
        <v>45610</v>
      </c>
      <c r="C49" s="3" t="str">
        <f t="shared" si="3"/>
        <v/>
      </c>
      <c r="D49" s="3" t="str">
        <f t="shared" si="4"/>
        <v>Pending</v>
      </c>
      <c r="E49" s="2" t="str">
        <f t="shared" si="5"/>
        <v/>
      </c>
      <c r="F49" s="2" t="str">
        <f t="array" ref="F49">INDEX(lists!F:F,RANDBETWEEN(1,6))
</f>
        <v>Household Essentials</v>
      </c>
      <c r="G49" s="2" t="str">
        <f t="array" ref="G49">IFS(
F49="Bedroom",INDEX(lists!G:G,RANDBETWEEN(1,4)),
F49="Living Room",INDEX(lists!H:H,RANDBETWEEN(1,4)),
F49="Dining",INDEX(lists!I:I,RANDBETWEEN(1,2)),
F49="Kitchen",INDEX(lists!J:J,RANDBETWEEN(1,4)),
F49="Office",INDEX(lists!K:K,RANDBETWEEN(1,3)),
F49="Household Essentials",INDEX(lists!L:L,RANDBETWEEN(1,3))
)
</f>
        <v>Rugs</v>
      </c>
      <c r="H49" s="2">
        <f t="shared" si="6"/>
        <v>2</v>
      </c>
      <c r="I49" s="2" t="str">
        <f t="shared" si="7"/>
        <v/>
      </c>
      <c r="J49" s="2" t="str">
        <f t="array" ref="J49">INDEX(lists!A:A,RANDBETWEEN(1,19))
</f>
        <v>Systems Engineering</v>
      </c>
      <c r="K49" s="2" t="str">
        <f t="array" ref="K49">INDEX(lists!N:N,RANDBETWEEN(1,6))
</f>
        <v>Biddeford</v>
      </c>
      <c r="L49" s="2">
        <f t="shared" si="8"/>
        <v>6</v>
      </c>
      <c r="M49" s="2" t="str">
        <f t="array" ref="M49">INDEX(lists!O:O,RANDBETWEEN(1,2))
</f>
        <v>Delivery</v>
      </c>
      <c r="N49" s="2">
        <f t="shared" si="9"/>
        <v>2</v>
      </c>
    </row>
    <row r="50">
      <c r="A50" s="2">
        <f t="shared" si="1"/>
        <v>49</v>
      </c>
      <c r="B50" s="3">
        <f t="shared" si="2"/>
        <v>45801</v>
      </c>
      <c r="C50" s="3">
        <f t="shared" si="3"/>
        <v>45812</v>
      </c>
      <c r="D50" s="3" t="str">
        <f t="shared" si="4"/>
        <v>Completed</v>
      </c>
      <c r="E50" s="2">
        <f t="shared" si="5"/>
        <v>11</v>
      </c>
      <c r="F50" s="2" t="str">
        <f t="array" ref="F50">INDEX(lists!F:F,RANDBETWEEN(1,6))
</f>
        <v>Household Essentials</v>
      </c>
      <c r="G50" s="2" t="str">
        <f t="array" ref="G50">IFS(
F50="Bedroom",INDEX(lists!G:G,RANDBETWEEN(1,4)),
F50="Living Room",INDEX(lists!H:H,RANDBETWEEN(1,4)),
F50="Dining",INDEX(lists!I:I,RANDBETWEEN(1,2)),
F50="Kitchen",INDEX(lists!J:J,RANDBETWEEN(1,4)),
F50="Office",INDEX(lists!K:K,RANDBETWEEN(1,3)),
F50="Household Essentials",INDEX(lists!L:L,RANDBETWEEN(1,3))
)
</f>
        <v>Lamps</v>
      </c>
      <c r="H50" s="2">
        <f t="shared" si="6"/>
        <v>4</v>
      </c>
      <c r="I50" s="2">
        <f t="shared" si="7"/>
        <v>2</v>
      </c>
      <c r="J50" s="2" t="str">
        <f t="array" ref="J50">INDEX(lists!A:A,RANDBETWEEN(1,19))
</f>
        <v>Maine Community Bank</v>
      </c>
      <c r="K50" s="2" t="str">
        <f t="array" ref="K50">INDEX(lists!N:N,RANDBETWEEN(1,6))
</f>
        <v>Portland</v>
      </c>
      <c r="L50" s="2">
        <f t="shared" si="8"/>
        <v>5</v>
      </c>
      <c r="M50" s="2" t="str">
        <f t="array" ref="M50">INDEX(lists!O:O,RANDBETWEEN(1,2))
</f>
        <v>Delivery</v>
      </c>
      <c r="N50" s="2">
        <f t="shared" si="9"/>
        <v>5</v>
      </c>
    </row>
    <row r="51">
      <c r="A51" s="2">
        <f t="shared" si="1"/>
        <v>50</v>
      </c>
      <c r="B51" s="3">
        <f t="shared" si="2"/>
        <v>45767</v>
      </c>
      <c r="C51" s="3" t="str">
        <f t="shared" si="3"/>
        <v/>
      </c>
      <c r="D51" s="3" t="str">
        <f t="shared" si="4"/>
        <v>Cancelled</v>
      </c>
      <c r="E51" s="2" t="str">
        <f t="shared" si="5"/>
        <v/>
      </c>
      <c r="F51" s="2" t="str">
        <f t="array" ref="F51">INDEX(lists!F:F,RANDBETWEEN(1,6))
</f>
        <v>Office</v>
      </c>
      <c r="G51" s="2" t="str">
        <f t="array" ref="G51">IFS(
F51="Bedroom",INDEX(lists!G:G,RANDBETWEEN(1,4)),
F51="Living Room",INDEX(lists!H:H,RANDBETWEEN(1,4)),
F51="Dining",INDEX(lists!I:I,RANDBETWEEN(1,2)),
F51="Kitchen",INDEX(lists!J:J,RANDBETWEEN(1,4)),
F51="Office",INDEX(lists!K:K,RANDBETWEEN(1,3)),
F51="Household Essentials",INDEX(lists!L:L,RANDBETWEEN(1,3))
)
</f>
        <v>Bookshelf</v>
      </c>
      <c r="H51" s="2">
        <f t="shared" si="6"/>
        <v>2</v>
      </c>
      <c r="I51" s="2" t="str">
        <f t="shared" si="7"/>
        <v/>
      </c>
      <c r="J51" s="2" t="str">
        <f t="array" ref="J51">INDEX(lists!A:A,RANDBETWEEN(1,19))
</f>
        <v>Portland Mattress Makers</v>
      </c>
      <c r="K51" s="2" t="str">
        <f t="array" ref="K51">INDEX(lists!N:N,RANDBETWEEN(1,6))
</f>
        <v>South Portland</v>
      </c>
      <c r="L51" s="2">
        <f t="shared" si="8"/>
        <v>5</v>
      </c>
      <c r="M51" s="2" t="str">
        <f t="array" ref="M51">INDEX(lists!O:O,RANDBETWEEN(1,2))
</f>
        <v>Pickup</v>
      </c>
      <c r="N51" s="2">
        <f t="shared" si="9"/>
        <v>2</v>
      </c>
    </row>
    <row r="52">
      <c r="A52" s="2">
        <f t="shared" si="1"/>
        <v>51</v>
      </c>
      <c r="B52" s="3">
        <f t="shared" si="2"/>
        <v>45502</v>
      </c>
      <c r="C52" s="3">
        <f t="shared" si="3"/>
        <v>45509</v>
      </c>
      <c r="D52" s="3" t="str">
        <f t="shared" si="4"/>
        <v>Completed</v>
      </c>
      <c r="E52" s="2">
        <f t="shared" si="5"/>
        <v>7</v>
      </c>
      <c r="F52" s="2" t="str">
        <f t="array" ref="F52">INDEX(lists!F:F,RANDBETWEEN(1,6))
</f>
        <v>Living Room</v>
      </c>
      <c r="G52" s="2" t="str">
        <f t="array" ref="G52">IFS(
F52="Bedroom",INDEX(lists!G:G,RANDBETWEEN(1,4)),
F52="Living Room",INDEX(lists!H:H,RANDBETWEEN(1,4)),
F52="Dining",INDEX(lists!I:I,RANDBETWEEN(1,2)),
F52="Kitchen",INDEX(lists!J:J,RANDBETWEEN(1,4)),
F52="Office",INDEX(lists!K:K,RANDBETWEEN(1,3)),
F52="Household Essentials",INDEX(lists!L:L,RANDBETWEEN(1,3))
)
</f>
        <v>TV Stand</v>
      </c>
      <c r="H52" s="2">
        <f t="shared" si="6"/>
        <v>4</v>
      </c>
      <c r="I52" s="2">
        <f t="shared" si="7"/>
        <v>2</v>
      </c>
      <c r="J52" s="2" t="str">
        <f t="array" ref="J52">INDEX(lists!A:A,RANDBETWEEN(1,19))
</f>
        <v>NewHeight Group</v>
      </c>
      <c r="K52" s="2" t="str">
        <f t="array" ref="K52">INDEX(lists!N:N,RANDBETWEEN(1,6))
</f>
        <v>Portland</v>
      </c>
      <c r="L52" s="2">
        <f t="shared" si="8"/>
        <v>5</v>
      </c>
      <c r="M52" s="2" t="str">
        <f t="array" ref="M52">INDEX(lists!O:O,RANDBETWEEN(1,2))
</f>
        <v>Pickup</v>
      </c>
      <c r="N52" s="2">
        <f t="shared" si="9"/>
        <v>6</v>
      </c>
    </row>
    <row r="53">
      <c r="A53" s="2">
        <f t="shared" si="1"/>
        <v>52</v>
      </c>
      <c r="B53" s="3">
        <f t="shared" si="2"/>
        <v>45818</v>
      </c>
      <c r="C53" s="3">
        <f t="shared" si="3"/>
        <v>45824</v>
      </c>
      <c r="D53" s="3" t="str">
        <f t="shared" si="4"/>
        <v>Completed</v>
      </c>
      <c r="E53" s="2">
        <f t="shared" si="5"/>
        <v>6</v>
      </c>
      <c r="F53" s="2" t="str">
        <f t="array" ref="F53">INDEX(lists!F:F,RANDBETWEEN(1,6))
</f>
        <v>Dining</v>
      </c>
      <c r="G53" s="2" t="str">
        <f t="array" ref="G53">IFS(
F53="Bedroom",INDEX(lists!G:G,RANDBETWEEN(1,4)),
F53="Living Room",INDEX(lists!H:H,RANDBETWEEN(1,4)),
F53="Dining",INDEX(lists!I:I,RANDBETWEEN(1,2)),
F53="Kitchen",INDEX(lists!J:J,RANDBETWEEN(1,4)),
F53="Office",INDEX(lists!K:K,RANDBETWEEN(1,3)),
F53="Household Essentials",INDEX(lists!L:L,RANDBETWEEN(1,3))
)
</f>
        <v>Dining Table</v>
      </c>
      <c r="H53" s="2">
        <f t="shared" si="6"/>
        <v>3</v>
      </c>
      <c r="I53" s="2">
        <f t="shared" si="7"/>
        <v>1</v>
      </c>
      <c r="J53" s="2" t="str">
        <f t="array" ref="J53">INDEX(lists!A:A,RANDBETWEEN(1,19))
</f>
        <v>Spiritual Workers</v>
      </c>
      <c r="K53" s="2" t="str">
        <f t="array" ref="K53">INDEX(lists!N:N,RANDBETWEEN(1,6))
</f>
        <v>Scarborough</v>
      </c>
      <c r="L53" s="2">
        <f t="shared" si="8"/>
        <v>3</v>
      </c>
      <c r="M53" s="2" t="str">
        <f t="array" ref="M53">INDEX(lists!O:O,RANDBETWEEN(1,2))
</f>
        <v>Delivery</v>
      </c>
      <c r="N53" s="2">
        <f t="shared" si="9"/>
        <v>5</v>
      </c>
    </row>
    <row r="54">
      <c r="A54" s="2">
        <f t="shared" si="1"/>
        <v>53</v>
      </c>
      <c r="B54" s="3">
        <f t="shared" si="2"/>
        <v>45347</v>
      </c>
      <c r="C54" s="3">
        <f t="shared" si="3"/>
        <v>45348</v>
      </c>
      <c r="D54" s="3" t="str">
        <f t="shared" si="4"/>
        <v>Completed</v>
      </c>
      <c r="E54" s="2">
        <f t="shared" si="5"/>
        <v>1</v>
      </c>
      <c r="F54" s="2" t="str">
        <f t="array" ref="F54">INDEX(lists!F:F,RANDBETWEEN(1,6))
</f>
        <v>Household Essentials</v>
      </c>
      <c r="G54" s="2" t="str">
        <f t="array" ref="G54">IFS(
F54="Bedroom",INDEX(lists!G:G,RANDBETWEEN(1,4)),
F54="Living Room",INDEX(lists!H:H,RANDBETWEEN(1,4)),
F54="Dining",INDEX(lists!I:I,RANDBETWEEN(1,2)),
F54="Kitchen",INDEX(lists!J:J,RANDBETWEEN(1,4)),
F54="Office",INDEX(lists!K:K,RANDBETWEEN(1,3)),
F54="Household Essentials",INDEX(lists!L:L,RANDBETWEEN(1,3))
)
</f>
        <v>Rugs</v>
      </c>
      <c r="H54" s="2">
        <f t="shared" si="6"/>
        <v>4</v>
      </c>
      <c r="I54" s="2">
        <f t="shared" si="7"/>
        <v>4</v>
      </c>
      <c r="J54" s="2" t="str">
        <f t="array" ref="J54">INDEX(lists!A:A,RANDBETWEEN(1,19))
</f>
        <v>Shutterbugs 4 Charity</v>
      </c>
      <c r="K54" s="2" t="str">
        <f t="array" ref="K54">INDEX(lists!N:N,RANDBETWEEN(1,6))
</f>
        <v>Biddeford</v>
      </c>
      <c r="L54" s="2">
        <f t="shared" si="8"/>
        <v>3</v>
      </c>
      <c r="M54" s="2" t="str">
        <f t="array" ref="M54">INDEX(lists!O:O,RANDBETWEEN(1,2))
</f>
        <v>Pickup</v>
      </c>
      <c r="N54" s="2">
        <f t="shared" si="9"/>
        <v>1</v>
      </c>
    </row>
    <row r="55">
      <c r="A55" s="2">
        <f t="shared" si="1"/>
        <v>54</v>
      </c>
      <c r="B55" s="3">
        <f t="shared" si="2"/>
        <v>45518</v>
      </c>
      <c r="C55" s="3">
        <f t="shared" si="3"/>
        <v>45524</v>
      </c>
      <c r="D55" s="3" t="str">
        <f t="shared" si="4"/>
        <v>Completed</v>
      </c>
      <c r="E55" s="2">
        <f t="shared" si="5"/>
        <v>6</v>
      </c>
      <c r="F55" s="2" t="str">
        <f t="array" ref="F55">INDEX(lists!F:F,RANDBETWEEN(1,6))
</f>
        <v>Household Essentials</v>
      </c>
      <c r="G55" s="2" t="str">
        <f t="array" ref="G55">IFS(
F55="Bedroom",INDEX(lists!G:G,RANDBETWEEN(1,4)),
F55="Living Room",INDEX(lists!H:H,RANDBETWEEN(1,4)),
F55="Dining",INDEX(lists!I:I,RANDBETWEEN(1,2)),
F55="Kitchen",INDEX(lists!J:J,RANDBETWEEN(1,4)),
F55="Office",INDEX(lists!K:K,RANDBETWEEN(1,3)),
F55="Household Essentials",INDEX(lists!L:L,RANDBETWEEN(1,3))
)
</f>
        <v>Bedding</v>
      </c>
      <c r="H55" s="2">
        <f t="shared" si="6"/>
        <v>4</v>
      </c>
      <c r="I55" s="2">
        <f t="shared" si="7"/>
        <v>1</v>
      </c>
      <c r="J55" s="2" t="str">
        <f t="array" ref="J55">INDEX(lists!A:A,RANDBETWEEN(1,19))
</f>
        <v>Rowe Ford Westbrook</v>
      </c>
      <c r="K55" s="2" t="str">
        <f t="array" ref="K55">INDEX(lists!N:N,RANDBETWEEN(1,6))
</f>
        <v>Scarborough</v>
      </c>
      <c r="L55" s="2">
        <f t="shared" si="8"/>
        <v>1</v>
      </c>
      <c r="M55" s="2" t="str">
        <f t="array" ref="M55">INDEX(lists!O:O,RANDBETWEEN(1,2))
</f>
        <v>Pickup</v>
      </c>
      <c r="N55" s="2">
        <f t="shared" si="9"/>
        <v>1</v>
      </c>
    </row>
    <row r="56">
      <c r="A56" s="2">
        <f t="shared" si="1"/>
        <v>55</v>
      </c>
      <c r="B56" s="3">
        <f t="shared" si="2"/>
        <v>45570</v>
      </c>
      <c r="C56" s="3">
        <f t="shared" si="3"/>
        <v>45571</v>
      </c>
      <c r="D56" s="3" t="str">
        <f t="shared" si="4"/>
        <v>Completed</v>
      </c>
      <c r="E56" s="2">
        <f t="shared" si="5"/>
        <v>1</v>
      </c>
      <c r="F56" s="2" t="str">
        <f t="array" ref="F56">INDEX(lists!F:F,RANDBETWEEN(1,6))
</f>
        <v>Bedroom</v>
      </c>
      <c r="G56" s="2" t="str">
        <f t="array" ref="G56">IFS(
F56="Bedroom",INDEX(lists!G:G,RANDBETWEEN(1,4)),
F56="Living Room",INDEX(lists!H:H,RANDBETWEEN(1,4)),
F56="Dining",INDEX(lists!I:I,RANDBETWEEN(1,2)),
F56="Kitchen",INDEX(lists!J:J,RANDBETWEEN(1,4)),
F56="Office",INDEX(lists!K:K,RANDBETWEEN(1,3)),
F56="Household Essentials",INDEX(lists!L:L,RANDBETWEEN(1,3))
)
</f>
        <v>Dresser</v>
      </c>
      <c r="H56" s="2">
        <f t="shared" si="6"/>
        <v>1</v>
      </c>
      <c r="I56" s="2">
        <f t="shared" si="7"/>
        <v>1</v>
      </c>
      <c r="J56" s="2" t="str">
        <f t="array" ref="J56">INDEX(lists!A:A,RANDBETWEEN(1,19))
</f>
        <v>Rowe Ford Westbrook</v>
      </c>
      <c r="K56" s="2" t="str">
        <f t="array" ref="K56">INDEX(lists!N:N,RANDBETWEEN(1,6))
</f>
        <v>South Portland</v>
      </c>
      <c r="L56" s="2">
        <f t="shared" si="8"/>
        <v>2</v>
      </c>
      <c r="M56" s="2" t="str">
        <f t="array" ref="M56">INDEX(lists!O:O,RANDBETWEEN(1,2))
</f>
        <v>Delivery</v>
      </c>
      <c r="N56" s="2">
        <f t="shared" si="9"/>
        <v>3</v>
      </c>
    </row>
    <row r="57">
      <c r="A57" s="2">
        <f t="shared" si="1"/>
        <v>56</v>
      </c>
      <c r="B57" s="3">
        <f t="shared" si="2"/>
        <v>45636</v>
      </c>
      <c r="C57" s="3">
        <f t="shared" si="3"/>
        <v>45642</v>
      </c>
      <c r="D57" s="3" t="str">
        <f t="shared" si="4"/>
        <v>Completed</v>
      </c>
      <c r="E57" s="2">
        <f t="shared" si="5"/>
        <v>6</v>
      </c>
      <c r="F57" s="2" t="str">
        <f t="array" ref="F57">INDEX(lists!F:F,RANDBETWEEN(1,6))
</f>
        <v>Household Essentials</v>
      </c>
      <c r="G57" s="2" t="str">
        <f t="array" ref="G57">IFS(
F57="Bedroom",INDEX(lists!G:G,RANDBETWEEN(1,4)),
F57="Living Room",INDEX(lists!H:H,RANDBETWEEN(1,4)),
F57="Dining",INDEX(lists!I:I,RANDBETWEEN(1,2)),
F57="Kitchen",INDEX(lists!J:J,RANDBETWEEN(1,4)),
F57="Office",INDEX(lists!K:K,RANDBETWEEN(1,3)),
F57="Household Essentials",INDEX(lists!L:L,RANDBETWEEN(1,3))
)
</f>
        <v>Bedding</v>
      </c>
      <c r="H57" s="2">
        <f t="shared" si="6"/>
        <v>2</v>
      </c>
      <c r="I57" s="2">
        <f t="shared" si="7"/>
        <v>1</v>
      </c>
      <c r="J57" s="2" t="str">
        <f t="array" ref="J57">INDEX(lists!A:A,RANDBETWEEN(1,19))
</f>
        <v>Shutterbugs 4 Charity</v>
      </c>
      <c r="K57" s="2" t="str">
        <f t="array" ref="K57">INDEX(lists!N:N,RANDBETWEEN(1,6))
</f>
        <v>Falmouth</v>
      </c>
      <c r="L57" s="2">
        <f t="shared" si="8"/>
        <v>6</v>
      </c>
      <c r="M57" s="2" t="str">
        <f t="array" ref="M57">INDEX(lists!O:O,RANDBETWEEN(1,2))
</f>
        <v>Pickup</v>
      </c>
      <c r="N57" s="2">
        <f t="shared" si="9"/>
        <v>6</v>
      </c>
    </row>
    <row r="58">
      <c r="A58" s="2">
        <f t="shared" si="1"/>
        <v>57</v>
      </c>
      <c r="B58" s="3">
        <f t="shared" si="2"/>
        <v>45667</v>
      </c>
      <c r="C58" s="3">
        <f t="shared" si="3"/>
        <v>45702</v>
      </c>
      <c r="D58" s="3" t="str">
        <f t="shared" si="4"/>
        <v>Completed</v>
      </c>
      <c r="E58" s="2">
        <f t="shared" si="5"/>
        <v>35</v>
      </c>
      <c r="F58" s="2" t="str">
        <f t="array" ref="F58">INDEX(lists!F:F,RANDBETWEEN(1,6))
</f>
        <v>Bedroom</v>
      </c>
      <c r="G58" s="2" t="str">
        <f t="array" ref="G58">IFS(
F58="Bedroom",INDEX(lists!G:G,RANDBETWEEN(1,4)),
F58="Living Room",INDEX(lists!H:H,RANDBETWEEN(1,4)),
F58="Dining",INDEX(lists!I:I,RANDBETWEEN(1,2)),
F58="Kitchen",INDEX(lists!J:J,RANDBETWEEN(1,4)),
F58="Office",INDEX(lists!K:K,RANDBETWEEN(1,3)),
F58="Household Essentials",INDEX(lists!L:L,RANDBETWEEN(1,3))
)
</f>
        <v>Mattress</v>
      </c>
      <c r="H58" s="2">
        <f t="shared" si="6"/>
        <v>1</v>
      </c>
      <c r="I58" s="2">
        <f t="shared" si="7"/>
        <v>1</v>
      </c>
      <c r="J58" s="2" t="str">
        <f t="array" ref="J58">INDEX(lists!A:A,RANDBETWEEN(1,19))
</f>
        <v>Coffee By Design</v>
      </c>
      <c r="K58" s="2" t="str">
        <f t="array" ref="K58">INDEX(lists!N:N,RANDBETWEEN(1,6))
</f>
        <v>Falmouth</v>
      </c>
      <c r="L58" s="2">
        <f t="shared" si="8"/>
        <v>2</v>
      </c>
      <c r="M58" s="2" t="str">
        <f t="array" ref="M58">INDEX(lists!O:O,RANDBETWEEN(1,2))
</f>
        <v>Pickup</v>
      </c>
      <c r="N58" s="2">
        <f t="shared" si="9"/>
        <v>3</v>
      </c>
    </row>
    <row r="59">
      <c r="A59" s="2">
        <f t="shared" si="1"/>
        <v>58</v>
      </c>
      <c r="B59" s="3">
        <f t="shared" si="2"/>
        <v>45465</v>
      </c>
      <c r="C59" s="3" t="str">
        <f t="shared" si="3"/>
        <v/>
      </c>
      <c r="D59" s="3" t="str">
        <f t="shared" si="4"/>
        <v>Cancelled</v>
      </c>
      <c r="E59" s="2" t="str">
        <f t="shared" si="5"/>
        <v/>
      </c>
      <c r="F59" s="2" t="str">
        <f t="array" ref="F59">INDEX(lists!F:F,RANDBETWEEN(1,6))
</f>
        <v>Bedroom</v>
      </c>
      <c r="G59" s="2" t="str">
        <f t="array" ref="G59">IFS(
F59="Bedroom",INDEX(lists!G:G,RANDBETWEEN(1,4)),
F59="Living Room",INDEX(lists!H:H,RANDBETWEEN(1,4)),
F59="Dining",INDEX(lists!I:I,RANDBETWEEN(1,2)),
F59="Kitchen",INDEX(lists!J:J,RANDBETWEEN(1,4)),
F59="Office",INDEX(lists!K:K,RANDBETWEEN(1,3)),
F59="Household Essentials",INDEX(lists!L:L,RANDBETWEEN(1,3))
)
</f>
        <v>Bed Frame</v>
      </c>
      <c r="H59" s="2">
        <f t="shared" si="6"/>
        <v>2</v>
      </c>
      <c r="I59" s="2" t="str">
        <f t="shared" si="7"/>
        <v/>
      </c>
      <c r="J59" s="2" t="str">
        <f t="array" ref="J59">INDEX(lists!A:A,RANDBETWEEN(1,19))
</f>
        <v>Saco &amp; Biddeford Savings</v>
      </c>
      <c r="K59" s="2" t="str">
        <f t="array" ref="K59">INDEX(lists!N:N,RANDBETWEEN(1,6))
</f>
        <v>Biddeford</v>
      </c>
      <c r="L59" s="2">
        <f t="shared" si="8"/>
        <v>5</v>
      </c>
      <c r="M59" s="2" t="str">
        <f t="array" ref="M59">INDEX(lists!O:O,RANDBETWEEN(1,2))
</f>
        <v>Delivery</v>
      </c>
      <c r="N59" s="2">
        <f t="shared" si="9"/>
        <v>6</v>
      </c>
    </row>
    <row r="60">
      <c r="A60" s="2">
        <f t="shared" si="1"/>
        <v>59</v>
      </c>
      <c r="B60" s="3">
        <f t="shared" si="2"/>
        <v>45634</v>
      </c>
      <c r="C60" s="3" t="str">
        <f t="shared" si="3"/>
        <v/>
      </c>
      <c r="D60" s="3" t="str">
        <f t="shared" si="4"/>
        <v>Cancelled</v>
      </c>
      <c r="E60" s="2" t="str">
        <f t="shared" si="5"/>
        <v/>
      </c>
      <c r="F60" s="2" t="str">
        <f t="array" ref="F60">INDEX(lists!F:F,RANDBETWEEN(1,6))
</f>
        <v>Office</v>
      </c>
      <c r="G60" s="2" t="str">
        <f t="array" ref="G60">IFS(
F60="Bedroom",INDEX(lists!G:G,RANDBETWEEN(1,4)),
F60="Living Room",INDEX(lists!H:H,RANDBETWEEN(1,4)),
F60="Dining",INDEX(lists!I:I,RANDBETWEEN(1,2)),
F60="Kitchen",INDEX(lists!J:J,RANDBETWEEN(1,4)),
F60="Office",INDEX(lists!K:K,RANDBETWEEN(1,3)),
F60="Household Essentials",INDEX(lists!L:L,RANDBETWEEN(1,3))
)
</f>
        <v>Desk</v>
      </c>
      <c r="H60" s="2">
        <f t="shared" si="6"/>
        <v>2</v>
      </c>
      <c r="I60" s="2" t="str">
        <f t="shared" si="7"/>
        <v/>
      </c>
      <c r="J60" s="2" t="str">
        <f t="array" ref="J60">INDEX(lists!A:A,RANDBETWEEN(1,19))
</f>
        <v>Keybank</v>
      </c>
      <c r="K60" s="2" t="str">
        <f t="array" ref="K60">INDEX(lists!N:N,RANDBETWEEN(1,6))
</f>
        <v>Biddeford</v>
      </c>
      <c r="L60" s="2">
        <f t="shared" si="8"/>
        <v>4</v>
      </c>
      <c r="M60" s="2" t="str">
        <f t="array" ref="M60">INDEX(lists!O:O,RANDBETWEEN(1,2))
</f>
        <v>Pickup</v>
      </c>
      <c r="N60" s="2">
        <f t="shared" si="9"/>
        <v>6</v>
      </c>
    </row>
    <row r="61">
      <c r="A61" s="2">
        <f t="shared" si="1"/>
        <v>60</v>
      </c>
      <c r="B61" s="3">
        <f t="shared" si="2"/>
        <v>45697</v>
      </c>
      <c r="C61" s="3">
        <f t="shared" si="3"/>
        <v>45703</v>
      </c>
      <c r="D61" s="3" t="str">
        <f t="shared" si="4"/>
        <v>Completed</v>
      </c>
      <c r="E61" s="2">
        <f t="shared" si="5"/>
        <v>6</v>
      </c>
      <c r="F61" s="2" t="str">
        <f t="array" ref="F61">INDEX(lists!F:F,RANDBETWEEN(1,6))
</f>
        <v>Living Room</v>
      </c>
      <c r="G61" s="2" t="str">
        <f t="array" ref="G61">IFS(
F61="Bedroom",INDEX(lists!G:G,RANDBETWEEN(1,4)),
F61="Living Room",INDEX(lists!H:H,RANDBETWEEN(1,4)),
F61="Dining",INDEX(lists!I:I,RANDBETWEEN(1,2)),
F61="Kitchen",INDEX(lists!J:J,RANDBETWEEN(1,4)),
F61="Office",INDEX(lists!K:K,RANDBETWEEN(1,3)),
F61="Household Essentials",INDEX(lists!L:L,RANDBETWEEN(1,3))
)
</f>
        <v>Armchair</v>
      </c>
      <c r="H61" s="2">
        <f t="shared" si="6"/>
        <v>3</v>
      </c>
      <c r="I61" s="2">
        <f t="shared" si="7"/>
        <v>3</v>
      </c>
      <c r="J61" s="2" t="str">
        <f t="array" ref="J61">INDEX(lists!A:A,RANDBETWEEN(1,19))
</f>
        <v>NewHeight Group</v>
      </c>
      <c r="K61" s="2" t="str">
        <f t="array" ref="K61">INDEX(lists!N:N,RANDBETWEEN(1,6))
</f>
        <v>Falmouth</v>
      </c>
      <c r="L61" s="2">
        <f t="shared" si="8"/>
        <v>5</v>
      </c>
      <c r="M61" s="2" t="str">
        <f t="array" ref="M61">INDEX(lists!O:O,RANDBETWEEN(1,2))
</f>
        <v>Delivery</v>
      </c>
      <c r="N61" s="2">
        <f t="shared" si="9"/>
        <v>1</v>
      </c>
    </row>
    <row r="62">
      <c r="A62" s="2">
        <f t="shared" si="1"/>
        <v>61</v>
      </c>
      <c r="B62" s="3">
        <f t="shared" si="2"/>
        <v>45539</v>
      </c>
      <c r="C62" s="3">
        <f t="shared" si="3"/>
        <v>45541</v>
      </c>
      <c r="D62" s="3" t="str">
        <f t="shared" si="4"/>
        <v>Completed</v>
      </c>
      <c r="E62" s="2">
        <f t="shared" si="5"/>
        <v>2</v>
      </c>
      <c r="F62" s="2" t="str">
        <f t="array" ref="F62">INDEX(lists!F:F,RANDBETWEEN(1,6))
</f>
        <v>Living Room</v>
      </c>
      <c r="G62" s="2" t="str">
        <f t="array" ref="G62">IFS(
F62="Bedroom",INDEX(lists!G:G,RANDBETWEEN(1,4)),
F62="Living Room",INDEX(lists!H:H,RANDBETWEEN(1,4)),
F62="Dining",INDEX(lists!I:I,RANDBETWEEN(1,2)),
F62="Kitchen",INDEX(lists!J:J,RANDBETWEEN(1,4)),
F62="Office",INDEX(lists!K:K,RANDBETWEEN(1,3)),
F62="Household Essentials",INDEX(lists!L:L,RANDBETWEEN(1,3))
)
</f>
        <v>Armchair</v>
      </c>
      <c r="H62" s="2">
        <f t="shared" si="6"/>
        <v>2</v>
      </c>
      <c r="I62" s="2">
        <f t="shared" si="7"/>
        <v>2</v>
      </c>
      <c r="J62" s="2" t="str">
        <f t="array" ref="J62">INDEX(lists!A:A,RANDBETWEEN(1,19))
</f>
        <v>Portland Harbor Group Raymond James</v>
      </c>
      <c r="K62" s="2" t="str">
        <f t="array" ref="K62">INDEX(lists!N:N,RANDBETWEEN(1,6))
</f>
        <v>Biddeford</v>
      </c>
      <c r="L62" s="2">
        <f t="shared" si="8"/>
        <v>2</v>
      </c>
      <c r="M62" s="2" t="str">
        <f t="array" ref="M62">INDEX(lists!O:O,RANDBETWEEN(1,2))
</f>
        <v>Delivery</v>
      </c>
      <c r="N62" s="2">
        <f t="shared" si="9"/>
        <v>4</v>
      </c>
    </row>
    <row r="63">
      <c r="A63" s="2">
        <f t="shared" si="1"/>
        <v>62</v>
      </c>
      <c r="B63" s="3">
        <f t="shared" si="2"/>
        <v>45394</v>
      </c>
      <c r="C63" s="3">
        <f t="shared" si="3"/>
        <v>45397</v>
      </c>
      <c r="D63" s="3" t="str">
        <f t="shared" si="4"/>
        <v>Completed</v>
      </c>
      <c r="E63" s="2">
        <f t="shared" si="5"/>
        <v>3</v>
      </c>
      <c r="F63" s="2" t="str">
        <f t="array" ref="F63">INDEX(lists!F:F,RANDBETWEEN(1,6))
</f>
        <v>Kitchen</v>
      </c>
      <c r="G63" s="2" t="str">
        <f t="array" ref="G63">IFS(
F63="Bedroom",INDEX(lists!G:G,RANDBETWEEN(1,4)),
F63="Living Room",INDEX(lists!H:H,RANDBETWEEN(1,4)),
F63="Dining",INDEX(lists!I:I,RANDBETWEEN(1,2)),
F63="Kitchen",INDEX(lists!J:J,RANDBETWEEN(1,4)),
F63="Office",INDEX(lists!K:K,RANDBETWEEN(1,3)),
F63="Household Essentials",INDEX(lists!L:L,RANDBETWEEN(1,3))
)
</f>
        <v>Dishes</v>
      </c>
      <c r="H63" s="2">
        <f t="shared" si="6"/>
        <v>1</v>
      </c>
      <c r="I63" s="2">
        <f t="shared" si="7"/>
        <v>1</v>
      </c>
      <c r="J63" s="2" t="str">
        <f t="array" ref="J63">INDEX(lists!A:A,RANDBETWEEN(1,19))
</f>
        <v>Westbrook Housing</v>
      </c>
      <c r="K63" s="2" t="str">
        <f t="array" ref="K63">INDEX(lists!N:N,RANDBETWEEN(1,6))
</f>
        <v>Portland</v>
      </c>
      <c r="L63" s="2">
        <f t="shared" si="8"/>
        <v>3</v>
      </c>
      <c r="M63" s="2" t="str">
        <f t="array" ref="M63">INDEX(lists!O:O,RANDBETWEEN(1,2))
</f>
        <v>Pickup</v>
      </c>
      <c r="N63" s="2">
        <f t="shared" si="9"/>
        <v>2</v>
      </c>
    </row>
    <row r="64">
      <c r="A64" s="2">
        <f t="shared" si="1"/>
        <v>63</v>
      </c>
      <c r="B64" s="3">
        <f t="shared" si="2"/>
        <v>45447</v>
      </c>
      <c r="C64" s="3">
        <f t="shared" si="3"/>
        <v>45450</v>
      </c>
      <c r="D64" s="3" t="str">
        <f t="shared" si="4"/>
        <v>Completed</v>
      </c>
      <c r="E64" s="2">
        <f t="shared" si="5"/>
        <v>3</v>
      </c>
      <c r="F64" s="2" t="str">
        <f t="array" ref="F64">INDEX(lists!F:F,RANDBETWEEN(1,6))
</f>
        <v>Kitchen</v>
      </c>
      <c r="G64" s="2" t="str">
        <f t="array" ref="G64">IFS(
F64="Bedroom",INDEX(lists!G:G,RANDBETWEEN(1,4)),
F64="Living Room",INDEX(lists!H:H,RANDBETWEEN(1,4)),
F64="Dining",INDEX(lists!I:I,RANDBETWEEN(1,2)),
F64="Kitchen",INDEX(lists!J:J,RANDBETWEEN(1,4)),
F64="Office",INDEX(lists!K:K,RANDBETWEEN(1,3)),
F64="Household Essentials",INDEX(lists!L:L,RANDBETWEEN(1,3))
)
</f>
        <v>Dishes</v>
      </c>
      <c r="H64" s="2">
        <f t="shared" si="6"/>
        <v>3</v>
      </c>
      <c r="I64" s="2">
        <f t="shared" si="7"/>
        <v>3</v>
      </c>
      <c r="J64" s="2" t="str">
        <f t="array" ref="J64">INDEX(lists!A:A,RANDBETWEEN(1,19))
</f>
        <v>Saco &amp; Biddeford Savings</v>
      </c>
      <c r="K64" s="2" t="str">
        <f t="array" ref="K64">INDEX(lists!N:N,RANDBETWEEN(1,6))
</f>
        <v>Biddeford</v>
      </c>
      <c r="L64" s="2">
        <f t="shared" si="8"/>
        <v>1</v>
      </c>
      <c r="M64" s="2" t="str">
        <f t="array" ref="M64">INDEX(lists!O:O,RANDBETWEEN(1,2))
</f>
        <v>Delivery</v>
      </c>
      <c r="N64" s="2">
        <f t="shared" si="9"/>
        <v>1</v>
      </c>
    </row>
    <row r="65">
      <c r="A65" s="2">
        <f t="shared" si="1"/>
        <v>64</v>
      </c>
      <c r="B65" s="3">
        <f t="shared" si="2"/>
        <v>45516</v>
      </c>
      <c r="C65" s="3">
        <f t="shared" si="3"/>
        <v>45535</v>
      </c>
      <c r="D65" s="3" t="str">
        <f t="shared" si="4"/>
        <v>Completed</v>
      </c>
      <c r="E65" s="2">
        <f t="shared" si="5"/>
        <v>19</v>
      </c>
      <c r="F65" s="2" t="str">
        <f t="array" ref="F65">INDEX(lists!F:F,RANDBETWEEN(1,6))
</f>
        <v>Office</v>
      </c>
      <c r="G65" s="2" t="str">
        <f t="array" ref="G65">IFS(
F65="Bedroom",INDEX(lists!G:G,RANDBETWEEN(1,4)),
F65="Living Room",INDEX(lists!H:H,RANDBETWEEN(1,4)),
F65="Dining",INDEX(lists!I:I,RANDBETWEEN(1,2)),
F65="Kitchen",INDEX(lists!J:J,RANDBETWEEN(1,4)),
F65="Office",INDEX(lists!K:K,RANDBETWEEN(1,3)),
F65="Household Essentials",INDEX(lists!L:L,RANDBETWEEN(1,3))
)
</f>
        <v>Office Chair</v>
      </c>
      <c r="H65" s="2">
        <f t="shared" si="6"/>
        <v>3</v>
      </c>
      <c r="I65" s="2">
        <f t="shared" si="7"/>
        <v>1</v>
      </c>
      <c r="J65" s="2" t="str">
        <f t="array" ref="J65">INDEX(lists!A:A,RANDBETWEEN(1,19))
</f>
        <v>Systems Engineering</v>
      </c>
      <c r="K65" s="2" t="str">
        <f t="array" ref="K65">INDEX(lists!N:N,RANDBETWEEN(1,6))
</f>
        <v>Biddeford</v>
      </c>
      <c r="L65" s="2">
        <f t="shared" si="8"/>
        <v>4</v>
      </c>
      <c r="M65" s="2" t="str">
        <f t="array" ref="M65">INDEX(lists!O:O,RANDBETWEEN(1,2))
</f>
        <v>Pickup</v>
      </c>
      <c r="N65" s="2">
        <f t="shared" si="9"/>
        <v>5</v>
      </c>
    </row>
    <row r="66">
      <c r="A66" s="2">
        <f t="shared" si="1"/>
        <v>65</v>
      </c>
      <c r="B66" s="3">
        <f t="shared" si="2"/>
        <v>45529</v>
      </c>
      <c r="C66" s="3">
        <f t="shared" si="3"/>
        <v>45556</v>
      </c>
      <c r="D66" s="3" t="str">
        <f t="shared" si="4"/>
        <v>Completed</v>
      </c>
      <c r="E66" s="2">
        <f t="shared" si="5"/>
        <v>27</v>
      </c>
      <c r="F66" s="2" t="str">
        <f t="array" ref="F66">INDEX(lists!F:F,RANDBETWEEN(1,6))
</f>
        <v>Office</v>
      </c>
      <c r="G66" s="2" t="str">
        <f t="array" ref="G66">IFS(
F66="Bedroom",INDEX(lists!G:G,RANDBETWEEN(1,4)),
F66="Living Room",INDEX(lists!H:H,RANDBETWEEN(1,4)),
F66="Dining",INDEX(lists!I:I,RANDBETWEEN(1,2)),
F66="Kitchen",INDEX(lists!J:J,RANDBETWEEN(1,4)),
F66="Office",INDEX(lists!K:K,RANDBETWEEN(1,3)),
F66="Household Essentials",INDEX(lists!L:L,RANDBETWEEN(1,3))
)
</f>
        <v>Desk</v>
      </c>
      <c r="H66" s="2">
        <f t="shared" si="6"/>
        <v>4</v>
      </c>
      <c r="I66" s="2">
        <f t="shared" si="7"/>
        <v>4</v>
      </c>
      <c r="J66" s="2" t="str">
        <f t="array" ref="J66">INDEX(lists!A:A,RANDBETWEEN(1,19))
</f>
        <v>Keybank</v>
      </c>
      <c r="K66" s="2" t="str">
        <f t="array" ref="K66">INDEX(lists!N:N,RANDBETWEEN(1,6))
</f>
        <v>South Portland</v>
      </c>
      <c r="L66" s="2">
        <f t="shared" si="8"/>
        <v>4</v>
      </c>
      <c r="M66" s="2" t="str">
        <f t="array" ref="M66">INDEX(lists!O:O,RANDBETWEEN(1,2))
</f>
        <v>Pickup</v>
      </c>
      <c r="N66" s="2">
        <f t="shared" si="9"/>
        <v>1</v>
      </c>
    </row>
    <row r="67">
      <c r="A67" s="2">
        <f t="shared" si="1"/>
        <v>66</v>
      </c>
      <c r="B67" s="3">
        <f t="shared" si="2"/>
        <v>45315</v>
      </c>
      <c r="C67" s="3">
        <f t="shared" si="3"/>
        <v>45325</v>
      </c>
      <c r="D67" s="3" t="str">
        <f t="shared" si="4"/>
        <v>Completed</v>
      </c>
      <c r="E67" s="2">
        <f t="shared" si="5"/>
        <v>10</v>
      </c>
      <c r="F67" s="2" t="str">
        <f t="array" ref="F67">INDEX(lists!F:F,RANDBETWEEN(1,6))
</f>
        <v>Dining</v>
      </c>
      <c r="G67" s="2" t="str">
        <f t="array" ref="G67">IFS(
F67="Bedroom",INDEX(lists!G:G,RANDBETWEEN(1,4)),
F67="Living Room",INDEX(lists!H:H,RANDBETWEEN(1,4)),
F67="Dining",INDEX(lists!I:I,RANDBETWEEN(1,2)),
F67="Kitchen",INDEX(lists!J:J,RANDBETWEEN(1,4)),
F67="Office",INDEX(lists!K:K,RANDBETWEEN(1,3)),
F67="Household Essentials",INDEX(lists!L:L,RANDBETWEEN(1,3))
)
</f>
        <v>Dining Chair</v>
      </c>
      <c r="H67" s="2">
        <f t="shared" si="6"/>
        <v>1</v>
      </c>
      <c r="I67" s="2">
        <f t="shared" si="7"/>
        <v>1</v>
      </c>
      <c r="J67" s="2" t="str">
        <f t="array" ref="J67">INDEX(lists!A:A,RANDBETWEEN(1,19))
</f>
        <v>Portland Mattress Makers</v>
      </c>
      <c r="K67" s="2" t="str">
        <f t="array" ref="K67">INDEX(lists!N:N,RANDBETWEEN(1,6))
</f>
        <v>Biddeford</v>
      </c>
      <c r="L67" s="2">
        <f t="shared" si="8"/>
        <v>3</v>
      </c>
      <c r="M67" s="2" t="str">
        <f t="array" ref="M67">INDEX(lists!O:O,RANDBETWEEN(1,2))
</f>
        <v>Pickup</v>
      </c>
      <c r="N67" s="2">
        <f t="shared" si="9"/>
        <v>3</v>
      </c>
    </row>
    <row r="68">
      <c r="A68" s="2">
        <f t="shared" si="1"/>
        <v>67</v>
      </c>
      <c r="B68" s="3">
        <f t="shared" si="2"/>
        <v>45800</v>
      </c>
      <c r="C68" s="3">
        <f t="shared" si="3"/>
        <v>45844</v>
      </c>
      <c r="D68" s="3" t="str">
        <f t="shared" si="4"/>
        <v>Completed</v>
      </c>
      <c r="E68" s="2">
        <f t="shared" si="5"/>
        <v>44</v>
      </c>
      <c r="F68" s="2" t="str">
        <f t="array" ref="F68">INDEX(lists!F:F,RANDBETWEEN(1,6))
</f>
        <v>Bedroom</v>
      </c>
      <c r="G68" s="2" t="str">
        <f t="array" ref="G68">IFS(
F68="Bedroom",INDEX(lists!G:G,RANDBETWEEN(1,4)),
F68="Living Room",INDEX(lists!H:H,RANDBETWEEN(1,4)),
F68="Dining",INDEX(lists!I:I,RANDBETWEEN(1,2)),
F68="Kitchen",INDEX(lists!J:J,RANDBETWEEN(1,4)),
F68="Office",INDEX(lists!K:K,RANDBETWEEN(1,3)),
F68="Household Essentials",INDEX(lists!L:L,RANDBETWEEN(1,3))
)
</f>
        <v>Bed Frame</v>
      </c>
      <c r="H68" s="2">
        <f t="shared" si="6"/>
        <v>3</v>
      </c>
      <c r="I68" s="2">
        <f t="shared" si="7"/>
        <v>3</v>
      </c>
      <c r="J68" s="2" t="str">
        <f t="array" ref="J68">INDEX(lists!A:A,RANDBETWEEN(1,19))
</f>
        <v>J.B Brown and Sons</v>
      </c>
      <c r="K68" s="2" t="str">
        <f t="array" ref="K68">INDEX(lists!N:N,RANDBETWEEN(1,6))
</f>
        <v>Biddeford</v>
      </c>
      <c r="L68" s="2">
        <f t="shared" si="8"/>
        <v>5</v>
      </c>
      <c r="M68" s="2" t="str">
        <f t="array" ref="M68">INDEX(lists!O:O,RANDBETWEEN(1,2))
</f>
        <v>Pickup</v>
      </c>
      <c r="N68" s="2">
        <f t="shared" si="9"/>
        <v>6</v>
      </c>
    </row>
    <row r="69">
      <c r="A69" s="2">
        <f t="shared" si="1"/>
        <v>68</v>
      </c>
      <c r="B69" s="3">
        <f t="shared" si="2"/>
        <v>45394</v>
      </c>
      <c r="C69" s="3" t="str">
        <f t="shared" si="3"/>
        <v/>
      </c>
      <c r="D69" s="3" t="str">
        <f t="shared" si="4"/>
        <v>Pending</v>
      </c>
      <c r="E69" s="2" t="str">
        <f t="shared" si="5"/>
        <v/>
      </c>
      <c r="F69" s="2" t="str">
        <f t="array" ref="F69">INDEX(lists!F:F,RANDBETWEEN(1,6))
</f>
        <v>Office</v>
      </c>
      <c r="G69" s="2" t="str">
        <f t="array" ref="G69">IFS(
F69="Bedroom",INDEX(lists!G:G,RANDBETWEEN(1,4)),
F69="Living Room",INDEX(lists!H:H,RANDBETWEEN(1,4)),
F69="Dining",INDEX(lists!I:I,RANDBETWEEN(1,2)),
F69="Kitchen",INDEX(lists!J:J,RANDBETWEEN(1,4)),
F69="Office",INDEX(lists!K:K,RANDBETWEEN(1,3)),
F69="Household Essentials",INDEX(lists!L:L,RANDBETWEEN(1,3))
)
</f>
        <v>Bookshelf</v>
      </c>
      <c r="H69" s="2">
        <f t="shared" si="6"/>
        <v>1</v>
      </c>
      <c r="I69" s="2" t="str">
        <f t="shared" si="7"/>
        <v/>
      </c>
      <c r="J69" s="2" t="str">
        <f t="array" ref="J69">INDEX(lists!A:A,RANDBETWEEN(1,19))
</f>
        <v>Diversified</v>
      </c>
      <c r="K69" s="2" t="str">
        <f t="array" ref="K69">INDEX(lists!N:N,RANDBETWEEN(1,6))
</f>
        <v>Falmouth</v>
      </c>
      <c r="L69" s="2">
        <f t="shared" si="8"/>
        <v>1</v>
      </c>
      <c r="M69" s="2" t="str">
        <f t="array" ref="M69">INDEX(lists!O:O,RANDBETWEEN(1,2))
</f>
        <v>Pickup</v>
      </c>
      <c r="N69" s="2">
        <f t="shared" si="9"/>
        <v>1</v>
      </c>
    </row>
    <row r="70">
      <c r="A70" s="2">
        <f t="shared" si="1"/>
        <v>69</v>
      </c>
      <c r="B70" s="3">
        <f t="shared" si="2"/>
        <v>45489</v>
      </c>
      <c r="C70" s="3">
        <f t="shared" si="3"/>
        <v>45493</v>
      </c>
      <c r="D70" s="3" t="str">
        <f t="shared" si="4"/>
        <v>Completed</v>
      </c>
      <c r="E70" s="2">
        <f t="shared" si="5"/>
        <v>4</v>
      </c>
      <c r="F70" s="2" t="str">
        <f t="array" ref="F70">INDEX(lists!F:F,RANDBETWEEN(1,6))
</f>
        <v>Office</v>
      </c>
      <c r="G70" s="2" t="str">
        <f t="array" ref="G70">IFS(
F70="Bedroom",INDEX(lists!G:G,RANDBETWEEN(1,4)),
F70="Living Room",INDEX(lists!H:H,RANDBETWEEN(1,4)),
F70="Dining",INDEX(lists!I:I,RANDBETWEEN(1,2)),
F70="Kitchen",INDEX(lists!J:J,RANDBETWEEN(1,4)),
F70="Office",INDEX(lists!K:K,RANDBETWEEN(1,3)),
F70="Household Essentials",INDEX(lists!L:L,RANDBETWEEN(1,3))
)
</f>
        <v>Office Chair</v>
      </c>
      <c r="H70" s="2">
        <f t="shared" si="6"/>
        <v>3</v>
      </c>
      <c r="I70" s="2">
        <f t="shared" si="7"/>
        <v>2</v>
      </c>
      <c r="J70" s="2" t="str">
        <f t="array" ref="J70">INDEX(lists!A:A,RANDBETWEEN(1,19))
</f>
        <v>Center for Real Estate Studies</v>
      </c>
      <c r="K70" s="2" t="str">
        <f t="array" ref="K70">INDEX(lists!N:N,RANDBETWEEN(1,6))
</f>
        <v>Biddeford</v>
      </c>
      <c r="L70" s="2">
        <f t="shared" si="8"/>
        <v>6</v>
      </c>
      <c r="M70" s="2" t="str">
        <f t="array" ref="M70">INDEX(lists!O:O,RANDBETWEEN(1,2))
</f>
        <v>Pickup</v>
      </c>
      <c r="N70" s="2">
        <f t="shared" si="9"/>
        <v>2</v>
      </c>
    </row>
    <row r="71">
      <c r="A71" s="2">
        <f t="shared" si="1"/>
        <v>70</v>
      </c>
      <c r="B71" s="3">
        <f t="shared" si="2"/>
        <v>45357</v>
      </c>
      <c r="C71" s="3">
        <f t="shared" si="3"/>
        <v>45369</v>
      </c>
      <c r="D71" s="3" t="str">
        <f t="shared" si="4"/>
        <v>Completed</v>
      </c>
      <c r="E71" s="2">
        <f t="shared" si="5"/>
        <v>12</v>
      </c>
      <c r="F71" s="2" t="str">
        <f t="array" ref="F71">INDEX(lists!F:F,RANDBETWEEN(1,6))
</f>
        <v>Dining</v>
      </c>
      <c r="G71" s="2" t="str">
        <f t="array" ref="G71">IFS(
F71="Bedroom",INDEX(lists!G:G,RANDBETWEEN(1,4)),
F71="Living Room",INDEX(lists!H:H,RANDBETWEEN(1,4)),
F71="Dining",INDEX(lists!I:I,RANDBETWEEN(1,2)),
F71="Kitchen",INDEX(lists!J:J,RANDBETWEEN(1,4)),
F71="Office",INDEX(lists!K:K,RANDBETWEEN(1,3)),
F71="Household Essentials",INDEX(lists!L:L,RANDBETWEEN(1,3))
)
</f>
        <v>Dining Table</v>
      </c>
      <c r="H71" s="2">
        <f t="shared" si="6"/>
        <v>2</v>
      </c>
      <c r="I71" s="2">
        <f t="shared" si="7"/>
        <v>2</v>
      </c>
      <c r="J71" s="2" t="str">
        <f t="array" ref="J71">INDEX(lists!A:A,RANDBETWEEN(1,19))
</f>
        <v>Saco &amp; Biddeford Savings</v>
      </c>
      <c r="K71" s="2" t="str">
        <f t="array" ref="K71">INDEX(lists!N:N,RANDBETWEEN(1,6))
</f>
        <v>Westbrook</v>
      </c>
      <c r="L71" s="2">
        <f t="shared" si="8"/>
        <v>2</v>
      </c>
      <c r="M71" s="2" t="str">
        <f t="array" ref="M71">INDEX(lists!O:O,RANDBETWEEN(1,2))
</f>
        <v>Delivery</v>
      </c>
      <c r="N71" s="2">
        <f t="shared" si="9"/>
        <v>3</v>
      </c>
    </row>
    <row r="72">
      <c r="A72" s="2">
        <f t="shared" si="1"/>
        <v>71</v>
      </c>
      <c r="B72" s="3">
        <f t="shared" si="2"/>
        <v>45317</v>
      </c>
      <c r="C72" s="3">
        <f t="shared" si="3"/>
        <v>45331</v>
      </c>
      <c r="D72" s="3" t="str">
        <f t="shared" si="4"/>
        <v>Completed</v>
      </c>
      <c r="E72" s="2">
        <f t="shared" si="5"/>
        <v>14</v>
      </c>
      <c r="F72" s="2" t="str">
        <f t="array" ref="F72">INDEX(lists!F:F,RANDBETWEEN(1,6))
</f>
        <v>Bedroom</v>
      </c>
      <c r="G72" s="2" t="str">
        <f t="array" ref="G72">IFS(
F72="Bedroom",INDEX(lists!G:G,RANDBETWEEN(1,4)),
F72="Living Room",INDEX(lists!H:H,RANDBETWEEN(1,4)),
F72="Dining",INDEX(lists!I:I,RANDBETWEEN(1,2)),
F72="Kitchen",INDEX(lists!J:J,RANDBETWEEN(1,4)),
F72="Office",INDEX(lists!K:K,RANDBETWEEN(1,3)),
F72="Household Essentials",INDEX(lists!L:L,RANDBETWEEN(1,3))
)
</f>
        <v>Bed Frame</v>
      </c>
      <c r="H72" s="2">
        <f t="shared" si="6"/>
        <v>2</v>
      </c>
      <c r="I72" s="2">
        <f t="shared" si="7"/>
        <v>1</v>
      </c>
      <c r="J72" s="2" t="str">
        <f t="array" ref="J72">INDEX(lists!A:A,RANDBETWEEN(1,19))
</f>
        <v>NewHeight Group</v>
      </c>
      <c r="K72" s="2" t="str">
        <f t="array" ref="K72">INDEX(lists!N:N,RANDBETWEEN(1,6))
</f>
        <v>Falmouth</v>
      </c>
      <c r="L72" s="2">
        <f t="shared" si="8"/>
        <v>5</v>
      </c>
      <c r="M72" s="2" t="str">
        <f t="array" ref="M72">INDEX(lists!O:O,RANDBETWEEN(1,2))
</f>
        <v>Pickup</v>
      </c>
      <c r="N72" s="2">
        <f t="shared" si="9"/>
        <v>3</v>
      </c>
    </row>
    <row r="73">
      <c r="A73" s="2">
        <f t="shared" si="1"/>
        <v>72</v>
      </c>
      <c r="B73" s="3">
        <f t="shared" si="2"/>
        <v>45645</v>
      </c>
      <c r="C73" s="3">
        <f t="shared" si="3"/>
        <v>45647</v>
      </c>
      <c r="D73" s="3" t="str">
        <f t="shared" si="4"/>
        <v>Completed</v>
      </c>
      <c r="E73" s="2">
        <f t="shared" si="5"/>
        <v>2</v>
      </c>
      <c r="F73" s="2" t="str">
        <f t="array" ref="F73">INDEX(lists!F:F,RANDBETWEEN(1,6))
</f>
        <v>Bedroom</v>
      </c>
      <c r="G73" s="2" t="str">
        <f t="array" ref="G73">IFS(
F73="Bedroom",INDEX(lists!G:G,RANDBETWEEN(1,4)),
F73="Living Room",INDEX(lists!H:H,RANDBETWEEN(1,4)),
F73="Dining",INDEX(lists!I:I,RANDBETWEEN(1,2)),
F73="Kitchen",INDEX(lists!J:J,RANDBETWEEN(1,4)),
F73="Office",INDEX(lists!K:K,RANDBETWEEN(1,3)),
F73="Household Essentials",INDEX(lists!L:L,RANDBETWEEN(1,3))
)
</f>
        <v>Dresser</v>
      </c>
      <c r="H73" s="2">
        <f t="shared" si="6"/>
        <v>3</v>
      </c>
      <c r="I73" s="2">
        <f t="shared" si="7"/>
        <v>1</v>
      </c>
      <c r="J73" s="2" t="str">
        <f t="array" ref="J73">INDEX(lists!A:A,RANDBETWEEN(1,19))
</f>
        <v>Portland Harbor Group Raymond James</v>
      </c>
      <c r="K73" s="2" t="str">
        <f t="array" ref="K73">INDEX(lists!N:N,RANDBETWEEN(1,6))
</f>
        <v>South Portland</v>
      </c>
      <c r="L73" s="2">
        <f t="shared" si="8"/>
        <v>4</v>
      </c>
      <c r="M73" s="2" t="str">
        <f t="array" ref="M73">INDEX(lists!O:O,RANDBETWEEN(1,2))
</f>
        <v>Pickup</v>
      </c>
      <c r="N73" s="2">
        <f t="shared" si="9"/>
        <v>6</v>
      </c>
    </row>
    <row r="74">
      <c r="A74" s="2">
        <f t="shared" si="1"/>
        <v>73</v>
      </c>
      <c r="B74" s="3">
        <f t="shared" si="2"/>
        <v>45661</v>
      </c>
      <c r="C74" s="3">
        <f t="shared" si="3"/>
        <v>45665</v>
      </c>
      <c r="D74" s="3" t="str">
        <f t="shared" si="4"/>
        <v>Completed</v>
      </c>
      <c r="E74" s="2">
        <f t="shared" si="5"/>
        <v>4</v>
      </c>
      <c r="F74" s="2" t="str">
        <f t="array" ref="F74">INDEX(lists!F:F,RANDBETWEEN(1,6))
</f>
        <v>Office</v>
      </c>
      <c r="G74" s="2" t="str">
        <f t="array" ref="G74">IFS(
F74="Bedroom",INDEX(lists!G:G,RANDBETWEEN(1,4)),
F74="Living Room",INDEX(lists!H:H,RANDBETWEEN(1,4)),
F74="Dining",INDEX(lists!I:I,RANDBETWEEN(1,2)),
F74="Kitchen",INDEX(lists!J:J,RANDBETWEEN(1,4)),
F74="Office",INDEX(lists!K:K,RANDBETWEEN(1,3)),
F74="Household Essentials",INDEX(lists!L:L,RANDBETWEEN(1,3))
)
</f>
        <v>Office Chair</v>
      </c>
      <c r="H74" s="2">
        <f t="shared" si="6"/>
        <v>1</v>
      </c>
      <c r="I74" s="2">
        <f t="shared" si="7"/>
        <v>1</v>
      </c>
      <c r="J74" s="2" t="str">
        <f t="array" ref="J74">INDEX(lists!A:A,RANDBETWEEN(1,19))
</f>
        <v>EthosVont</v>
      </c>
      <c r="K74" s="2" t="str">
        <f t="array" ref="K74">INDEX(lists!N:N,RANDBETWEEN(1,6))
</f>
        <v>Westbrook</v>
      </c>
      <c r="L74" s="2">
        <f t="shared" si="8"/>
        <v>4</v>
      </c>
      <c r="M74" s="2" t="str">
        <f t="array" ref="M74">INDEX(lists!O:O,RANDBETWEEN(1,2))
</f>
        <v>Delivery</v>
      </c>
      <c r="N74" s="2">
        <f t="shared" si="9"/>
        <v>5</v>
      </c>
    </row>
    <row r="75">
      <c r="A75" s="2">
        <f t="shared" si="1"/>
        <v>74</v>
      </c>
      <c r="B75" s="3">
        <f t="shared" si="2"/>
        <v>45376</v>
      </c>
      <c r="C75" s="3">
        <f t="shared" si="3"/>
        <v>45383</v>
      </c>
      <c r="D75" s="3" t="str">
        <f t="shared" si="4"/>
        <v>Completed</v>
      </c>
      <c r="E75" s="2">
        <f t="shared" si="5"/>
        <v>7</v>
      </c>
      <c r="F75" s="2" t="str">
        <f t="array" ref="F75">INDEX(lists!F:F,RANDBETWEEN(1,6))
</f>
        <v>Office</v>
      </c>
      <c r="G75" s="2" t="str">
        <f t="array" ref="G75">IFS(
F75="Bedroom",INDEX(lists!G:G,RANDBETWEEN(1,4)),
F75="Living Room",INDEX(lists!H:H,RANDBETWEEN(1,4)),
F75="Dining",INDEX(lists!I:I,RANDBETWEEN(1,2)),
F75="Kitchen",INDEX(lists!J:J,RANDBETWEEN(1,4)),
F75="Office",INDEX(lists!K:K,RANDBETWEEN(1,3)),
F75="Household Essentials",INDEX(lists!L:L,RANDBETWEEN(1,3))
)
</f>
        <v>Office Chair</v>
      </c>
      <c r="H75" s="2">
        <f t="shared" si="6"/>
        <v>3</v>
      </c>
      <c r="I75" s="2">
        <f t="shared" si="7"/>
        <v>3</v>
      </c>
      <c r="J75" s="2" t="str">
        <f t="array" ref="J75">INDEX(lists!A:A,RANDBETWEEN(1,19))
</f>
        <v>Systems Engineering</v>
      </c>
      <c r="K75" s="2" t="str">
        <f t="array" ref="K75">INDEX(lists!N:N,RANDBETWEEN(1,6))
</f>
        <v>Portland</v>
      </c>
      <c r="L75" s="2">
        <f t="shared" si="8"/>
        <v>5</v>
      </c>
      <c r="M75" s="2" t="str">
        <f t="array" ref="M75">INDEX(lists!O:O,RANDBETWEEN(1,2))
</f>
        <v>Delivery</v>
      </c>
      <c r="N75" s="2">
        <f t="shared" si="9"/>
        <v>2</v>
      </c>
    </row>
    <row r="76">
      <c r="A76" s="2">
        <f t="shared" si="1"/>
        <v>75</v>
      </c>
      <c r="B76" s="3">
        <f t="shared" si="2"/>
        <v>45575</v>
      </c>
      <c r="C76" s="3">
        <f t="shared" si="3"/>
        <v>45609</v>
      </c>
      <c r="D76" s="3" t="str">
        <f t="shared" si="4"/>
        <v>Completed</v>
      </c>
      <c r="E76" s="2">
        <f t="shared" si="5"/>
        <v>34</v>
      </c>
      <c r="F76" s="2" t="str">
        <f t="array" ref="F76">INDEX(lists!F:F,RANDBETWEEN(1,6))
</f>
        <v>Household Essentials</v>
      </c>
      <c r="G76" s="2" t="str">
        <f t="array" ref="G76">IFS(
F76="Bedroom",INDEX(lists!G:G,RANDBETWEEN(1,4)),
F76="Living Room",INDEX(lists!H:H,RANDBETWEEN(1,4)),
F76="Dining",INDEX(lists!I:I,RANDBETWEEN(1,2)),
F76="Kitchen",INDEX(lists!J:J,RANDBETWEEN(1,4)),
F76="Office",INDEX(lists!K:K,RANDBETWEEN(1,3)),
F76="Household Essentials",INDEX(lists!L:L,RANDBETWEEN(1,3))
)
</f>
        <v>Rugs</v>
      </c>
      <c r="H76" s="2">
        <f t="shared" si="6"/>
        <v>4</v>
      </c>
      <c r="I76" s="2">
        <f t="shared" si="7"/>
        <v>3</v>
      </c>
      <c r="J76" s="2" t="str">
        <f t="array" ref="J76">INDEX(lists!A:A,RANDBETWEEN(1,19))
</f>
        <v>Keybank</v>
      </c>
      <c r="K76" s="2" t="str">
        <f t="array" ref="K76">INDEX(lists!N:N,RANDBETWEEN(1,6))
</f>
        <v>Falmouth</v>
      </c>
      <c r="L76" s="2">
        <f t="shared" si="8"/>
        <v>4</v>
      </c>
      <c r="M76" s="2" t="str">
        <f t="array" ref="M76">INDEX(lists!O:O,RANDBETWEEN(1,2))
</f>
        <v>Delivery</v>
      </c>
      <c r="N76" s="2">
        <f t="shared" si="9"/>
        <v>4</v>
      </c>
    </row>
    <row r="77">
      <c r="A77" s="2">
        <f t="shared" si="1"/>
        <v>76</v>
      </c>
      <c r="B77" s="3">
        <f t="shared" si="2"/>
        <v>45780</v>
      </c>
      <c r="C77" s="3">
        <f t="shared" si="3"/>
        <v>45789</v>
      </c>
      <c r="D77" s="3" t="str">
        <f t="shared" si="4"/>
        <v>Completed</v>
      </c>
      <c r="E77" s="2">
        <f t="shared" si="5"/>
        <v>9</v>
      </c>
      <c r="F77" s="2" t="str">
        <f t="array" ref="F77">INDEX(lists!F:F,RANDBETWEEN(1,6))
</f>
        <v>Living Room</v>
      </c>
      <c r="G77" s="2" t="str">
        <f t="array" ref="G77">IFS(
F77="Bedroom",INDEX(lists!G:G,RANDBETWEEN(1,4)),
F77="Living Room",INDEX(lists!H:H,RANDBETWEEN(1,4)),
F77="Dining",INDEX(lists!I:I,RANDBETWEEN(1,2)),
F77="Kitchen",INDEX(lists!J:J,RANDBETWEEN(1,4)),
F77="Office",INDEX(lists!K:K,RANDBETWEEN(1,3)),
F77="Household Essentials",INDEX(lists!L:L,RANDBETWEEN(1,3))
)
</f>
        <v>Armchair</v>
      </c>
      <c r="H77" s="2">
        <f t="shared" si="6"/>
        <v>3</v>
      </c>
      <c r="I77" s="2">
        <f t="shared" si="7"/>
        <v>1</v>
      </c>
      <c r="J77" s="2" t="str">
        <f t="array" ref="J77">INDEX(lists!A:A,RANDBETWEEN(1,19))
</f>
        <v>Coffee By Design</v>
      </c>
      <c r="K77" s="2" t="str">
        <f t="array" ref="K77">INDEX(lists!N:N,RANDBETWEEN(1,6))
</f>
        <v>Westbrook</v>
      </c>
      <c r="L77" s="2">
        <f t="shared" si="8"/>
        <v>2</v>
      </c>
      <c r="M77" s="2" t="str">
        <f t="array" ref="M77">INDEX(lists!O:O,RANDBETWEEN(1,2))
</f>
        <v>Pickup</v>
      </c>
      <c r="N77" s="2">
        <f t="shared" si="9"/>
        <v>4</v>
      </c>
    </row>
    <row r="78">
      <c r="A78" s="2">
        <f t="shared" si="1"/>
        <v>77</v>
      </c>
      <c r="B78" s="3">
        <f t="shared" si="2"/>
        <v>45354</v>
      </c>
      <c r="C78" s="3">
        <f t="shared" si="3"/>
        <v>45359</v>
      </c>
      <c r="D78" s="3" t="str">
        <f t="shared" si="4"/>
        <v>Completed</v>
      </c>
      <c r="E78" s="2">
        <f t="shared" si="5"/>
        <v>5</v>
      </c>
      <c r="F78" s="2" t="str">
        <f t="array" ref="F78">INDEX(lists!F:F,RANDBETWEEN(1,6))
</f>
        <v>Dining</v>
      </c>
      <c r="G78" s="2" t="str">
        <f t="array" ref="G78">IFS(
F78="Bedroom",INDEX(lists!G:G,RANDBETWEEN(1,4)),
F78="Living Room",INDEX(lists!H:H,RANDBETWEEN(1,4)),
F78="Dining",INDEX(lists!I:I,RANDBETWEEN(1,2)),
F78="Kitchen",INDEX(lists!J:J,RANDBETWEEN(1,4)),
F78="Office",INDEX(lists!K:K,RANDBETWEEN(1,3)),
F78="Household Essentials",INDEX(lists!L:L,RANDBETWEEN(1,3))
)
</f>
        <v>Dining Table</v>
      </c>
      <c r="H78" s="2">
        <f t="shared" si="6"/>
        <v>3</v>
      </c>
      <c r="I78" s="2">
        <f t="shared" si="7"/>
        <v>3</v>
      </c>
      <c r="J78" s="2" t="str">
        <f t="array" ref="J78">INDEX(lists!A:A,RANDBETWEEN(1,19))
</f>
        <v>Rowe Ford Westbrook</v>
      </c>
      <c r="K78" s="2" t="str">
        <f t="array" ref="K78">INDEX(lists!N:N,RANDBETWEEN(1,6))
</f>
        <v>Scarborough</v>
      </c>
      <c r="L78" s="2">
        <f t="shared" si="8"/>
        <v>5</v>
      </c>
      <c r="M78" s="2" t="str">
        <f t="array" ref="M78">INDEX(lists!O:O,RANDBETWEEN(1,2))
</f>
        <v>Delivery</v>
      </c>
      <c r="N78" s="2">
        <f t="shared" si="9"/>
        <v>6</v>
      </c>
    </row>
    <row r="79">
      <c r="A79" s="2">
        <f t="shared" si="1"/>
        <v>78</v>
      </c>
      <c r="B79" s="3">
        <f t="shared" si="2"/>
        <v>45338</v>
      </c>
      <c r="C79" s="3">
        <f t="shared" si="3"/>
        <v>45347</v>
      </c>
      <c r="D79" s="3" t="str">
        <f t="shared" si="4"/>
        <v>Completed</v>
      </c>
      <c r="E79" s="2">
        <f t="shared" si="5"/>
        <v>9</v>
      </c>
      <c r="F79" s="2" t="str">
        <f t="array" ref="F79">INDEX(lists!F:F,RANDBETWEEN(1,6))
</f>
        <v>Dining</v>
      </c>
      <c r="G79" s="2" t="str">
        <f t="array" ref="G79">IFS(
F79="Bedroom",INDEX(lists!G:G,RANDBETWEEN(1,4)),
F79="Living Room",INDEX(lists!H:H,RANDBETWEEN(1,4)),
F79="Dining",INDEX(lists!I:I,RANDBETWEEN(1,2)),
F79="Kitchen",INDEX(lists!J:J,RANDBETWEEN(1,4)),
F79="Office",INDEX(lists!K:K,RANDBETWEEN(1,3)),
F79="Household Essentials",INDEX(lists!L:L,RANDBETWEEN(1,3))
)
</f>
        <v>Dining Table</v>
      </c>
      <c r="H79" s="2">
        <f t="shared" si="6"/>
        <v>3</v>
      </c>
      <c r="I79" s="2">
        <f t="shared" si="7"/>
        <v>3</v>
      </c>
      <c r="J79" s="2" t="str">
        <f t="array" ref="J79">INDEX(lists!A:A,RANDBETWEEN(1,19))
</f>
        <v>Systems Engineering</v>
      </c>
      <c r="K79" s="2" t="str">
        <f t="array" ref="K79">INDEX(lists!N:N,RANDBETWEEN(1,6))
</f>
        <v>Biddeford</v>
      </c>
      <c r="L79" s="2">
        <f t="shared" si="8"/>
        <v>5</v>
      </c>
      <c r="M79" s="2" t="str">
        <f t="array" ref="M79">INDEX(lists!O:O,RANDBETWEEN(1,2))
</f>
        <v>Pickup</v>
      </c>
      <c r="N79" s="2">
        <f t="shared" si="9"/>
        <v>3</v>
      </c>
    </row>
    <row r="80">
      <c r="A80" s="2">
        <f t="shared" si="1"/>
        <v>79</v>
      </c>
      <c r="B80" s="3">
        <f t="shared" si="2"/>
        <v>45464</v>
      </c>
      <c r="C80" s="3">
        <f t="shared" si="3"/>
        <v>45467</v>
      </c>
      <c r="D80" s="3" t="str">
        <f t="shared" si="4"/>
        <v>Completed</v>
      </c>
      <c r="E80" s="2">
        <f t="shared" si="5"/>
        <v>3</v>
      </c>
      <c r="F80" s="2" t="str">
        <f t="array" ref="F80">INDEX(lists!F:F,RANDBETWEEN(1,6))
</f>
        <v>Living Room</v>
      </c>
      <c r="G80" s="2" t="str">
        <f t="array" ref="G80">IFS(
F80="Bedroom",INDEX(lists!G:G,RANDBETWEEN(1,4)),
F80="Living Room",INDEX(lists!H:H,RANDBETWEEN(1,4)),
F80="Dining",INDEX(lists!I:I,RANDBETWEEN(1,2)),
F80="Kitchen",INDEX(lists!J:J,RANDBETWEEN(1,4)),
F80="Office",INDEX(lists!K:K,RANDBETWEEN(1,3)),
F80="Household Essentials",INDEX(lists!L:L,RANDBETWEEN(1,3))
)
</f>
        <v>Sofa</v>
      </c>
      <c r="H80" s="2">
        <f t="shared" si="6"/>
        <v>3</v>
      </c>
      <c r="I80" s="2">
        <f t="shared" si="7"/>
        <v>3</v>
      </c>
      <c r="J80" s="2" t="str">
        <f t="array" ref="J80">INDEX(lists!A:A,RANDBETWEEN(1,19))
</f>
        <v>GoGo Refill</v>
      </c>
      <c r="K80" s="2" t="str">
        <f t="array" ref="K80">INDEX(lists!N:N,RANDBETWEEN(1,6))
</f>
        <v>Falmouth</v>
      </c>
      <c r="L80" s="2">
        <f t="shared" si="8"/>
        <v>5</v>
      </c>
      <c r="M80" s="2" t="str">
        <f t="array" ref="M80">INDEX(lists!O:O,RANDBETWEEN(1,2))
</f>
        <v>Pickup</v>
      </c>
      <c r="N80" s="2">
        <f t="shared" si="9"/>
        <v>5</v>
      </c>
    </row>
    <row r="81">
      <c r="A81" s="2">
        <f t="shared" si="1"/>
        <v>80</v>
      </c>
      <c r="B81" s="3">
        <f t="shared" si="2"/>
        <v>45385</v>
      </c>
      <c r="C81" s="3">
        <f t="shared" si="3"/>
        <v>45427</v>
      </c>
      <c r="D81" s="3" t="str">
        <f t="shared" si="4"/>
        <v>Completed</v>
      </c>
      <c r="E81" s="2">
        <f t="shared" si="5"/>
        <v>42</v>
      </c>
      <c r="F81" s="2" t="str">
        <f t="array" ref="F81">INDEX(lists!F:F,RANDBETWEEN(1,6))
</f>
        <v>Office</v>
      </c>
      <c r="G81" s="2" t="str">
        <f t="array" ref="G81">IFS(
F81="Bedroom",INDEX(lists!G:G,RANDBETWEEN(1,4)),
F81="Living Room",INDEX(lists!H:H,RANDBETWEEN(1,4)),
F81="Dining",INDEX(lists!I:I,RANDBETWEEN(1,2)),
F81="Kitchen",INDEX(lists!J:J,RANDBETWEEN(1,4)),
F81="Office",INDEX(lists!K:K,RANDBETWEEN(1,3)),
F81="Household Essentials",INDEX(lists!L:L,RANDBETWEEN(1,3))
)
</f>
        <v>Office Chair</v>
      </c>
      <c r="H81" s="2">
        <f t="shared" si="6"/>
        <v>4</v>
      </c>
      <c r="I81" s="2">
        <f t="shared" si="7"/>
        <v>3</v>
      </c>
      <c r="J81" s="2" t="str">
        <f t="array" ref="J81">INDEX(lists!A:A,RANDBETWEEN(1,19))
</f>
        <v>Rowe Ford Westbrook</v>
      </c>
      <c r="K81" s="2" t="str">
        <f t="array" ref="K81">INDEX(lists!N:N,RANDBETWEEN(1,6))
</f>
        <v>Scarborough</v>
      </c>
      <c r="L81" s="2">
        <f t="shared" si="8"/>
        <v>5</v>
      </c>
      <c r="M81" s="2" t="str">
        <f t="array" ref="M81">INDEX(lists!O:O,RANDBETWEEN(1,2))
</f>
        <v>Delivery</v>
      </c>
      <c r="N81" s="2">
        <f t="shared" si="9"/>
        <v>1</v>
      </c>
    </row>
    <row r="82">
      <c r="A82" s="2">
        <f t="shared" si="1"/>
        <v>81</v>
      </c>
      <c r="B82" s="3">
        <f t="shared" si="2"/>
        <v>45809</v>
      </c>
      <c r="C82" s="3">
        <f t="shared" si="3"/>
        <v>45810</v>
      </c>
      <c r="D82" s="3" t="str">
        <f t="shared" si="4"/>
        <v>Completed</v>
      </c>
      <c r="E82" s="2">
        <f t="shared" si="5"/>
        <v>1</v>
      </c>
      <c r="F82" s="2" t="str">
        <f t="array" ref="F82">INDEX(lists!F:F,RANDBETWEEN(1,6))
</f>
        <v>Bedroom</v>
      </c>
      <c r="G82" s="2" t="str">
        <f t="array" ref="G82">IFS(
F82="Bedroom",INDEX(lists!G:G,RANDBETWEEN(1,4)),
F82="Living Room",INDEX(lists!H:H,RANDBETWEEN(1,4)),
F82="Dining",INDEX(lists!I:I,RANDBETWEEN(1,2)),
F82="Kitchen",INDEX(lists!J:J,RANDBETWEEN(1,4)),
F82="Office",INDEX(lists!K:K,RANDBETWEEN(1,3)),
F82="Household Essentials",INDEX(lists!L:L,RANDBETWEEN(1,3))
)
</f>
        <v>Nightstand</v>
      </c>
      <c r="H82" s="2">
        <f t="shared" si="6"/>
        <v>2</v>
      </c>
      <c r="I82" s="2">
        <f t="shared" si="7"/>
        <v>1</v>
      </c>
      <c r="J82" s="2" t="str">
        <f t="array" ref="J82">INDEX(lists!A:A,RANDBETWEEN(1,19))
</f>
        <v>J.B Brown and Sons</v>
      </c>
      <c r="K82" s="2" t="str">
        <f t="array" ref="K82">INDEX(lists!N:N,RANDBETWEEN(1,6))
</f>
        <v>Falmouth</v>
      </c>
      <c r="L82" s="2">
        <f t="shared" si="8"/>
        <v>2</v>
      </c>
      <c r="M82" s="2" t="str">
        <f t="array" ref="M82">INDEX(lists!O:O,RANDBETWEEN(1,2))
</f>
        <v>Delivery</v>
      </c>
      <c r="N82" s="2">
        <f t="shared" si="9"/>
        <v>6</v>
      </c>
    </row>
    <row r="83">
      <c r="A83" s="2">
        <f t="shared" si="1"/>
        <v>82</v>
      </c>
      <c r="B83" s="3">
        <f t="shared" si="2"/>
        <v>45825</v>
      </c>
      <c r="C83" s="3">
        <f t="shared" si="3"/>
        <v>45838</v>
      </c>
      <c r="D83" s="3" t="str">
        <f t="shared" si="4"/>
        <v>Completed</v>
      </c>
      <c r="E83" s="2">
        <f t="shared" si="5"/>
        <v>13</v>
      </c>
      <c r="F83" s="2" t="str">
        <f t="array" ref="F83">INDEX(lists!F:F,RANDBETWEEN(1,6))
</f>
        <v>Bedroom</v>
      </c>
      <c r="G83" s="2" t="str">
        <f t="array" ref="G83">IFS(
F83="Bedroom",INDEX(lists!G:G,RANDBETWEEN(1,4)),
F83="Living Room",INDEX(lists!H:H,RANDBETWEEN(1,4)),
F83="Dining",INDEX(lists!I:I,RANDBETWEEN(1,2)),
F83="Kitchen",INDEX(lists!J:J,RANDBETWEEN(1,4)),
F83="Office",INDEX(lists!K:K,RANDBETWEEN(1,3)),
F83="Household Essentials",INDEX(lists!L:L,RANDBETWEEN(1,3))
)
</f>
        <v>Nightstand</v>
      </c>
      <c r="H83" s="2">
        <f t="shared" si="6"/>
        <v>3</v>
      </c>
      <c r="I83" s="2">
        <f t="shared" si="7"/>
        <v>1</v>
      </c>
      <c r="J83" s="2" t="str">
        <f t="array" ref="J83">INDEX(lists!A:A,RANDBETWEEN(1,19))
</f>
        <v>Developers Collaborative</v>
      </c>
      <c r="K83" s="2" t="str">
        <f t="array" ref="K83">INDEX(lists!N:N,RANDBETWEEN(1,6))
</f>
        <v>South Portland</v>
      </c>
      <c r="L83" s="2">
        <f t="shared" si="8"/>
        <v>4</v>
      </c>
      <c r="M83" s="2" t="str">
        <f t="array" ref="M83">INDEX(lists!O:O,RANDBETWEEN(1,2))
</f>
        <v>Delivery</v>
      </c>
      <c r="N83" s="2">
        <f t="shared" si="9"/>
        <v>1</v>
      </c>
    </row>
    <row r="84">
      <c r="A84" s="2">
        <f t="shared" si="1"/>
        <v>83</v>
      </c>
      <c r="B84" s="3">
        <f t="shared" si="2"/>
        <v>45515</v>
      </c>
      <c r="C84" s="3" t="str">
        <f t="shared" si="3"/>
        <v/>
      </c>
      <c r="D84" s="3" t="str">
        <f t="shared" si="4"/>
        <v>Pending</v>
      </c>
      <c r="E84" s="2" t="str">
        <f t="shared" si="5"/>
        <v/>
      </c>
      <c r="F84" s="2" t="str">
        <f t="array" ref="F84">INDEX(lists!F:F,RANDBETWEEN(1,6))
</f>
        <v>Living Room</v>
      </c>
      <c r="G84" s="2" t="str">
        <f t="array" ref="G84">IFS(
F84="Bedroom",INDEX(lists!G:G,RANDBETWEEN(1,4)),
F84="Living Room",INDEX(lists!H:H,RANDBETWEEN(1,4)),
F84="Dining",INDEX(lists!I:I,RANDBETWEEN(1,2)),
F84="Kitchen",INDEX(lists!J:J,RANDBETWEEN(1,4)),
F84="Office",INDEX(lists!K:K,RANDBETWEEN(1,3)),
F84="Household Essentials",INDEX(lists!L:L,RANDBETWEEN(1,3))
)
</f>
        <v>TV Stand</v>
      </c>
      <c r="H84" s="2">
        <f t="shared" si="6"/>
        <v>2</v>
      </c>
      <c r="I84" s="2" t="str">
        <f t="shared" si="7"/>
        <v/>
      </c>
      <c r="J84" s="2" t="str">
        <f t="array" ref="J84">INDEX(lists!A:A,RANDBETWEEN(1,19))
</f>
        <v>Systems Engineering</v>
      </c>
      <c r="K84" s="2" t="str">
        <f t="array" ref="K84">INDEX(lists!N:N,RANDBETWEEN(1,6))
</f>
        <v>Portland</v>
      </c>
      <c r="L84" s="2">
        <f t="shared" si="8"/>
        <v>1</v>
      </c>
      <c r="M84" s="2" t="str">
        <f t="array" ref="M84">INDEX(lists!O:O,RANDBETWEEN(1,2))
</f>
        <v>Pickup</v>
      </c>
      <c r="N84" s="2">
        <f t="shared" si="9"/>
        <v>4</v>
      </c>
    </row>
    <row r="85">
      <c r="A85" s="2">
        <f t="shared" si="1"/>
        <v>84</v>
      </c>
      <c r="B85" s="3">
        <f t="shared" si="2"/>
        <v>45541</v>
      </c>
      <c r="C85" s="3" t="str">
        <f t="shared" si="3"/>
        <v/>
      </c>
      <c r="D85" s="3" t="str">
        <f t="shared" si="4"/>
        <v>Cancelled</v>
      </c>
      <c r="E85" s="2" t="str">
        <f t="shared" si="5"/>
        <v/>
      </c>
      <c r="F85" s="2" t="str">
        <f t="array" ref="F85">INDEX(lists!F:F,RANDBETWEEN(1,6))
</f>
        <v>Kitchen</v>
      </c>
      <c r="G85" s="2" t="str">
        <f t="array" ref="G85">IFS(
F85="Bedroom",INDEX(lists!G:G,RANDBETWEEN(1,4)),
F85="Living Room",INDEX(lists!H:H,RANDBETWEEN(1,4)),
F85="Dining",INDEX(lists!I:I,RANDBETWEEN(1,2)),
F85="Kitchen",INDEX(lists!J:J,RANDBETWEEN(1,4)),
F85="Office",INDEX(lists!K:K,RANDBETWEEN(1,3)),
F85="Household Essentials",INDEX(lists!L:L,RANDBETWEEN(1,3))
)
</f>
        <v>Pots &amp; Pans</v>
      </c>
      <c r="H85" s="2">
        <f t="shared" si="6"/>
        <v>4</v>
      </c>
      <c r="I85" s="2" t="str">
        <f t="shared" si="7"/>
        <v/>
      </c>
      <c r="J85" s="2" t="str">
        <f t="array" ref="J85">INDEX(lists!A:A,RANDBETWEEN(1,19))
</f>
        <v>Diversified</v>
      </c>
      <c r="K85" s="2" t="str">
        <f t="array" ref="K85">INDEX(lists!N:N,RANDBETWEEN(1,6))
</f>
        <v>Falmouth</v>
      </c>
      <c r="L85" s="2">
        <f t="shared" si="8"/>
        <v>1</v>
      </c>
      <c r="M85" s="2" t="str">
        <f t="array" ref="M85">INDEX(lists!O:O,RANDBETWEEN(1,2))
</f>
        <v>Pickup</v>
      </c>
      <c r="N85" s="2">
        <f t="shared" si="9"/>
        <v>2</v>
      </c>
    </row>
    <row r="86">
      <c r="A86" s="2">
        <f t="shared" si="1"/>
        <v>85</v>
      </c>
      <c r="B86" s="3">
        <f t="shared" si="2"/>
        <v>45377</v>
      </c>
      <c r="C86" s="3">
        <f t="shared" si="3"/>
        <v>45390</v>
      </c>
      <c r="D86" s="3" t="str">
        <f t="shared" si="4"/>
        <v>Completed</v>
      </c>
      <c r="E86" s="2">
        <f t="shared" si="5"/>
        <v>13</v>
      </c>
      <c r="F86" s="2" t="str">
        <f t="array" ref="F86">INDEX(lists!F:F,RANDBETWEEN(1,6))
</f>
        <v>Living Room</v>
      </c>
      <c r="G86" s="2" t="str">
        <f t="array" ref="G86">IFS(
F86="Bedroom",INDEX(lists!G:G,RANDBETWEEN(1,4)),
F86="Living Room",INDEX(lists!H:H,RANDBETWEEN(1,4)),
F86="Dining",INDEX(lists!I:I,RANDBETWEEN(1,2)),
F86="Kitchen",INDEX(lists!J:J,RANDBETWEEN(1,4)),
F86="Office",INDEX(lists!K:K,RANDBETWEEN(1,3)),
F86="Household Essentials",INDEX(lists!L:L,RANDBETWEEN(1,3))
)
</f>
        <v>Coffee Table</v>
      </c>
      <c r="H86" s="2">
        <f t="shared" si="6"/>
        <v>4</v>
      </c>
      <c r="I86" s="2">
        <f t="shared" si="7"/>
        <v>4</v>
      </c>
      <c r="J86" s="2" t="str">
        <f t="array" ref="J86">INDEX(lists!A:A,RANDBETWEEN(1,19))
</f>
        <v>Shutterbugs 4 Charity</v>
      </c>
      <c r="K86" s="2" t="str">
        <f t="array" ref="K86">INDEX(lists!N:N,RANDBETWEEN(1,6))
</f>
        <v>Portland</v>
      </c>
      <c r="L86" s="2">
        <f t="shared" si="8"/>
        <v>5</v>
      </c>
      <c r="M86" s="2" t="str">
        <f t="array" ref="M86">INDEX(lists!O:O,RANDBETWEEN(1,2))
</f>
        <v>Delivery</v>
      </c>
      <c r="N86" s="2">
        <f t="shared" si="9"/>
        <v>3</v>
      </c>
    </row>
    <row r="87">
      <c r="A87" s="2">
        <f t="shared" si="1"/>
        <v>86</v>
      </c>
      <c r="B87" s="3">
        <f t="shared" si="2"/>
        <v>45697</v>
      </c>
      <c r="C87" s="3">
        <f t="shared" si="3"/>
        <v>45706</v>
      </c>
      <c r="D87" s="3" t="str">
        <f t="shared" si="4"/>
        <v>Completed</v>
      </c>
      <c r="E87" s="2">
        <f t="shared" si="5"/>
        <v>9</v>
      </c>
      <c r="F87" s="2" t="str">
        <f t="array" ref="F87">INDEX(lists!F:F,RANDBETWEEN(1,6))
</f>
        <v>Office</v>
      </c>
      <c r="G87" s="2" t="str">
        <f t="array" ref="G87">IFS(
F87="Bedroom",INDEX(lists!G:G,RANDBETWEEN(1,4)),
F87="Living Room",INDEX(lists!H:H,RANDBETWEEN(1,4)),
F87="Dining",INDEX(lists!I:I,RANDBETWEEN(1,2)),
F87="Kitchen",INDEX(lists!J:J,RANDBETWEEN(1,4)),
F87="Office",INDEX(lists!K:K,RANDBETWEEN(1,3)),
F87="Household Essentials",INDEX(lists!L:L,RANDBETWEEN(1,3))
)
</f>
        <v>Bookshelf</v>
      </c>
      <c r="H87" s="2">
        <f t="shared" si="6"/>
        <v>2</v>
      </c>
      <c r="I87" s="2">
        <f t="shared" si="7"/>
        <v>1</v>
      </c>
      <c r="J87" s="2" t="str">
        <f t="array" ref="J87">INDEX(lists!A:A,RANDBETWEEN(1,19))
</f>
        <v>Rowe Ford Westbrook</v>
      </c>
      <c r="K87" s="2" t="str">
        <f t="array" ref="K87">INDEX(lists!N:N,RANDBETWEEN(1,6))
</f>
        <v>Falmouth</v>
      </c>
      <c r="L87" s="2">
        <f t="shared" si="8"/>
        <v>2</v>
      </c>
      <c r="M87" s="2" t="str">
        <f t="array" ref="M87">INDEX(lists!O:O,RANDBETWEEN(1,2))
</f>
        <v>Delivery</v>
      </c>
      <c r="N87" s="2">
        <f t="shared" si="9"/>
        <v>1</v>
      </c>
    </row>
    <row r="88">
      <c r="A88" s="2">
        <f t="shared" si="1"/>
        <v>87</v>
      </c>
      <c r="B88" s="3">
        <f t="shared" si="2"/>
        <v>45818</v>
      </c>
      <c r="C88" s="3" t="str">
        <f t="shared" si="3"/>
        <v/>
      </c>
      <c r="D88" s="3" t="str">
        <f t="shared" si="4"/>
        <v>Pending</v>
      </c>
      <c r="E88" s="2" t="str">
        <f t="shared" si="5"/>
        <v/>
      </c>
      <c r="F88" s="2" t="str">
        <f t="array" ref="F88">INDEX(lists!F:F,RANDBETWEEN(1,6))
</f>
        <v>Living Room</v>
      </c>
      <c r="G88" s="2" t="str">
        <f t="array" ref="G88">IFS(
F88="Bedroom",INDEX(lists!G:G,RANDBETWEEN(1,4)),
F88="Living Room",INDEX(lists!H:H,RANDBETWEEN(1,4)),
F88="Dining",INDEX(lists!I:I,RANDBETWEEN(1,2)),
F88="Kitchen",INDEX(lists!J:J,RANDBETWEEN(1,4)),
F88="Office",INDEX(lists!K:K,RANDBETWEEN(1,3)),
F88="Household Essentials",INDEX(lists!L:L,RANDBETWEEN(1,3))
)
</f>
        <v>TV Stand</v>
      </c>
      <c r="H88" s="2">
        <f t="shared" si="6"/>
        <v>2</v>
      </c>
      <c r="I88" s="2" t="str">
        <f t="shared" si="7"/>
        <v/>
      </c>
      <c r="J88" s="2" t="str">
        <f t="array" ref="J88">INDEX(lists!A:A,RANDBETWEEN(1,19))
</f>
        <v>Jordan's Furniture</v>
      </c>
      <c r="K88" s="2" t="str">
        <f t="array" ref="K88">INDEX(lists!N:N,RANDBETWEEN(1,6))
</f>
        <v>Westbrook</v>
      </c>
      <c r="L88" s="2">
        <f t="shared" si="8"/>
        <v>5</v>
      </c>
      <c r="M88" s="2" t="str">
        <f t="array" ref="M88">INDEX(lists!O:O,RANDBETWEEN(1,2))
</f>
        <v>Pickup</v>
      </c>
      <c r="N88" s="2">
        <f t="shared" si="9"/>
        <v>6</v>
      </c>
    </row>
    <row r="89">
      <c r="A89" s="2">
        <f t="shared" si="1"/>
        <v>88</v>
      </c>
      <c r="B89" s="3">
        <f t="shared" si="2"/>
        <v>45801</v>
      </c>
      <c r="C89" s="3">
        <f t="shared" si="3"/>
        <v>45808</v>
      </c>
      <c r="D89" s="3" t="str">
        <f t="shared" si="4"/>
        <v>Completed</v>
      </c>
      <c r="E89" s="2">
        <f t="shared" si="5"/>
        <v>7</v>
      </c>
      <c r="F89" s="2" t="str">
        <f t="array" ref="F89">INDEX(lists!F:F,RANDBETWEEN(1,6))
</f>
        <v>Kitchen</v>
      </c>
      <c r="G89" s="2" t="str">
        <f t="array" ref="G89">IFS(
F89="Bedroom",INDEX(lists!G:G,RANDBETWEEN(1,4)),
F89="Living Room",INDEX(lists!H:H,RANDBETWEEN(1,4)),
F89="Dining",INDEX(lists!I:I,RANDBETWEEN(1,2)),
F89="Kitchen",INDEX(lists!J:J,RANDBETWEEN(1,4)),
F89="Office",INDEX(lists!K:K,RANDBETWEEN(1,3)),
F89="Household Essentials",INDEX(lists!L:L,RANDBETWEEN(1,3))
)
</f>
        <v>Dishes</v>
      </c>
      <c r="H89" s="2">
        <f t="shared" si="6"/>
        <v>2</v>
      </c>
      <c r="I89" s="2">
        <f t="shared" si="7"/>
        <v>1</v>
      </c>
      <c r="J89" s="2" t="str">
        <f t="array" ref="J89">INDEX(lists!A:A,RANDBETWEEN(1,19))
</f>
        <v>Coffee By Design</v>
      </c>
      <c r="K89" s="2" t="str">
        <f t="array" ref="K89">INDEX(lists!N:N,RANDBETWEEN(1,6))
</f>
        <v>Westbrook</v>
      </c>
      <c r="L89" s="2">
        <f t="shared" si="8"/>
        <v>2</v>
      </c>
      <c r="M89" s="2" t="str">
        <f t="array" ref="M89">INDEX(lists!O:O,RANDBETWEEN(1,2))
</f>
        <v>Delivery</v>
      </c>
      <c r="N89" s="2">
        <f t="shared" si="9"/>
        <v>3</v>
      </c>
    </row>
    <row r="90">
      <c r="A90" s="2">
        <f t="shared" si="1"/>
        <v>89</v>
      </c>
      <c r="B90" s="3">
        <f t="shared" si="2"/>
        <v>45682</v>
      </c>
      <c r="C90" s="3">
        <f t="shared" si="3"/>
        <v>45696</v>
      </c>
      <c r="D90" s="3" t="str">
        <f t="shared" si="4"/>
        <v>Completed</v>
      </c>
      <c r="E90" s="2">
        <f t="shared" si="5"/>
        <v>14</v>
      </c>
      <c r="F90" s="2" t="str">
        <f t="array" ref="F90">INDEX(lists!F:F,RANDBETWEEN(1,6))
</f>
        <v>Bedroom</v>
      </c>
      <c r="G90" s="2" t="str">
        <f t="array" ref="G90">IFS(
F90="Bedroom",INDEX(lists!G:G,RANDBETWEEN(1,4)),
F90="Living Room",INDEX(lists!H:H,RANDBETWEEN(1,4)),
F90="Dining",INDEX(lists!I:I,RANDBETWEEN(1,2)),
F90="Kitchen",INDEX(lists!J:J,RANDBETWEEN(1,4)),
F90="Office",INDEX(lists!K:K,RANDBETWEEN(1,3)),
F90="Household Essentials",INDEX(lists!L:L,RANDBETWEEN(1,3))
)
</f>
        <v>Bed Frame</v>
      </c>
      <c r="H90" s="2">
        <f t="shared" si="6"/>
        <v>4</v>
      </c>
      <c r="I90" s="2">
        <f t="shared" si="7"/>
        <v>2</v>
      </c>
      <c r="J90" s="2" t="str">
        <f t="array" ref="J90">INDEX(lists!A:A,RANDBETWEEN(1,19))
</f>
        <v>Maine Community Bank</v>
      </c>
      <c r="K90" s="2" t="str">
        <f t="array" ref="K90">INDEX(lists!N:N,RANDBETWEEN(1,6))
</f>
        <v>Scarborough</v>
      </c>
      <c r="L90" s="2">
        <f t="shared" si="8"/>
        <v>1</v>
      </c>
      <c r="M90" s="2" t="str">
        <f t="array" ref="M90">INDEX(lists!O:O,RANDBETWEEN(1,2))
</f>
        <v>Pickup</v>
      </c>
      <c r="N90" s="2">
        <f t="shared" si="9"/>
        <v>4</v>
      </c>
    </row>
    <row r="91">
      <c r="A91" s="2">
        <f t="shared" si="1"/>
        <v>90</v>
      </c>
      <c r="B91" s="3">
        <f t="shared" si="2"/>
        <v>45495</v>
      </c>
      <c r="C91" s="3">
        <f t="shared" si="3"/>
        <v>45508</v>
      </c>
      <c r="D91" s="3" t="str">
        <f t="shared" si="4"/>
        <v>Completed</v>
      </c>
      <c r="E91" s="2">
        <f t="shared" si="5"/>
        <v>13</v>
      </c>
      <c r="F91" s="2" t="str">
        <f t="array" ref="F91">INDEX(lists!F:F,RANDBETWEEN(1,6))
</f>
        <v>Living Room</v>
      </c>
      <c r="G91" s="2" t="str">
        <f t="array" ref="G91">IFS(
F91="Bedroom",INDEX(lists!G:G,RANDBETWEEN(1,4)),
F91="Living Room",INDEX(lists!H:H,RANDBETWEEN(1,4)),
F91="Dining",INDEX(lists!I:I,RANDBETWEEN(1,2)),
F91="Kitchen",INDEX(lists!J:J,RANDBETWEEN(1,4)),
F91="Office",INDEX(lists!K:K,RANDBETWEEN(1,3)),
F91="Household Essentials",INDEX(lists!L:L,RANDBETWEEN(1,3))
)
</f>
        <v>Coffee Table</v>
      </c>
      <c r="H91" s="2">
        <f t="shared" si="6"/>
        <v>1</v>
      </c>
      <c r="I91" s="2">
        <f t="shared" si="7"/>
        <v>1</v>
      </c>
      <c r="J91" s="2" t="str">
        <f t="array" ref="J91">INDEX(lists!A:A,RANDBETWEEN(1,19))
</f>
        <v>Portland Harbor Group Raymond James</v>
      </c>
      <c r="K91" s="2" t="str">
        <f t="array" ref="K91">INDEX(lists!N:N,RANDBETWEEN(1,6))
</f>
        <v>Scarborough</v>
      </c>
      <c r="L91" s="2">
        <f t="shared" si="8"/>
        <v>6</v>
      </c>
      <c r="M91" s="2" t="str">
        <f t="array" ref="M91">INDEX(lists!O:O,RANDBETWEEN(1,2))
</f>
        <v>Delivery</v>
      </c>
      <c r="N91" s="2">
        <f t="shared" si="9"/>
        <v>1</v>
      </c>
    </row>
    <row r="92">
      <c r="A92" s="2">
        <f t="shared" si="1"/>
        <v>91</v>
      </c>
      <c r="B92" s="3">
        <f t="shared" si="2"/>
        <v>45830</v>
      </c>
      <c r="C92" s="3">
        <f t="shared" si="3"/>
        <v>45840</v>
      </c>
      <c r="D92" s="3" t="str">
        <f t="shared" si="4"/>
        <v>Completed</v>
      </c>
      <c r="E92" s="2">
        <f t="shared" si="5"/>
        <v>10</v>
      </c>
      <c r="F92" s="2" t="str">
        <f t="array" ref="F92">INDEX(lists!F:F,RANDBETWEEN(1,6))
</f>
        <v>Household Essentials</v>
      </c>
      <c r="G92" s="2" t="str">
        <f t="array" ref="G92">IFS(
F92="Bedroom",INDEX(lists!G:G,RANDBETWEEN(1,4)),
F92="Living Room",INDEX(lists!H:H,RANDBETWEEN(1,4)),
F92="Dining",INDEX(lists!I:I,RANDBETWEEN(1,2)),
F92="Kitchen",INDEX(lists!J:J,RANDBETWEEN(1,4)),
F92="Office",INDEX(lists!K:K,RANDBETWEEN(1,3)),
F92="Household Essentials",INDEX(lists!L:L,RANDBETWEEN(1,3))
)
</f>
        <v>Lamps</v>
      </c>
      <c r="H92" s="2">
        <f t="shared" si="6"/>
        <v>2</v>
      </c>
      <c r="I92" s="2">
        <f t="shared" si="7"/>
        <v>1</v>
      </c>
      <c r="J92" s="2" t="str">
        <f t="array" ref="J92">INDEX(lists!A:A,RANDBETWEEN(1,19))
</f>
        <v>Rowe Ford Westbrook</v>
      </c>
      <c r="K92" s="2" t="str">
        <f t="array" ref="K92">INDEX(lists!N:N,RANDBETWEEN(1,6))
</f>
        <v>Falmouth</v>
      </c>
      <c r="L92" s="2">
        <f t="shared" si="8"/>
        <v>2</v>
      </c>
      <c r="M92" s="2" t="str">
        <f t="array" ref="M92">INDEX(lists!O:O,RANDBETWEEN(1,2))
</f>
        <v>Delivery</v>
      </c>
      <c r="N92" s="2">
        <f t="shared" si="9"/>
        <v>3</v>
      </c>
    </row>
    <row r="93">
      <c r="A93" s="2">
        <f t="shared" si="1"/>
        <v>92</v>
      </c>
      <c r="B93" s="3">
        <f t="shared" si="2"/>
        <v>45368</v>
      </c>
      <c r="C93" s="3">
        <f t="shared" si="3"/>
        <v>45376</v>
      </c>
      <c r="D93" s="3" t="str">
        <f t="shared" si="4"/>
        <v>Completed</v>
      </c>
      <c r="E93" s="2">
        <f t="shared" si="5"/>
        <v>8</v>
      </c>
      <c r="F93" s="2" t="str">
        <f t="array" ref="F93">INDEX(lists!F:F,RANDBETWEEN(1,6))
</f>
        <v>Office</v>
      </c>
      <c r="G93" s="2" t="str">
        <f t="array" ref="G93">IFS(
F93="Bedroom",INDEX(lists!G:G,RANDBETWEEN(1,4)),
F93="Living Room",INDEX(lists!H:H,RANDBETWEEN(1,4)),
F93="Dining",INDEX(lists!I:I,RANDBETWEEN(1,2)),
F93="Kitchen",INDEX(lists!J:J,RANDBETWEEN(1,4)),
F93="Office",INDEX(lists!K:K,RANDBETWEEN(1,3)),
F93="Household Essentials",INDEX(lists!L:L,RANDBETWEEN(1,3))
)
</f>
        <v>Desk</v>
      </c>
      <c r="H93" s="2">
        <f t="shared" si="6"/>
        <v>3</v>
      </c>
      <c r="I93" s="2">
        <f t="shared" si="7"/>
        <v>3</v>
      </c>
      <c r="J93" s="2" t="str">
        <f t="array" ref="J93">INDEX(lists!A:A,RANDBETWEEN(1,19))
</f>
        <v>Saco &amp; Biddeford Savings</v>
      </c>
      <c r="K93" s="2" t="str">
        <f t="array" ref="K93">INDEX(lists!N:N,RANDBETWEEN(1,6))
</f>
        <v>Biddeford</v>
      </c>
      <c r="L93" s="2">
        <f t="shared" si="8"/>
        <v>6</v>
      </c>
      <c r="M93" s="2" t="str">
        <f t="array" ref="M93">INDEX(lists!O:O,RANDBETWEEN(1,2))
</f>
        <v>Pickup</v>
      </c>
      <c r="N93" s="2">
        <f t="shared" si="9"/>
        <v>3</v>
      </c>
    </row>
    <row r="94">
      <c r="A94" s="2">
        <f t="shared" si="1"/>
        <v>93</v>
      </c>
      <c r="B94" s="3">
        <f t="shared" si="2"/>
        <v>45699</v>
      </c>
      <c r="C94" s="3">
        <f t="shared" si="3"/>
        <v>45710</v>
      </c>
      <c r="D94" s="3" t="str">
        <f t="shared" si="4"/>
        <v>Completed</v>
      </c>
      <c r="E94" s="2">
        <f t="shared" si="5"/>
        <v>11</v>
      </c>
      <c r="F94" s="2" t="str">
        <f t="array" ref="F94">INDEX(lists!F:F,RANDBETWEEN(1,6))
</f>
        <v>Bedroom</v>
      </c>
      <c r="G94" s="2" t="str">
        <f t="array" ref="G94">IFS(
F94="Bedroom",INDEX(lists!G:G,RANDBETWEEN(1,4)),
F94="Living Room",INDEX(lists!H:H,RANDBETWEEN(1,4)),
F94="Dining",INDEX(lists!I:I,RANDBETWEEN(1,2)),
F94="Kitchen",INDEX(lists!J:J,RANDBETWEEN(1,4)),
F94="Office",INDEX(lists!K:K,RANDBETWEEN(1,3)),
F94="Household Essentials",INDEX(lists!L:L,RANDBETWEEN(1,3))
)
</f>
        <v>Mattress</v>
      </c>
      <c r="H94" s="2">
        <f t="shared" si="6"/>
        <v>2</v>
      </c>
      <c r="I94" s="2">
        <f t="shared" si="7"/>
        <v>2</v>
      </c>
      <c r="J94" s="2" t="str">
        <f t="array" ref="J94">INDEX(lists!A:A,RANDBETWEEN(1,19))
</f>
        <v>Rowe Ford Westbrook</v>
      </c>
      <c r="K94" s="2" t="str">
        <f t="array" ref="K94">INDEX(lists!N:N,RANDBETWEEN(1,6))
</f>
        <v>Biddeford</v>
      </c>
      <c r="L94" s="2">
        <f t="shared" si="8"/>
        <v>3</v>
      </c>
      <c r="M94" s="2" t="str">
        <f t="array" ref="M94">INDEX(lists!O:O,RANDBETWEEN(1,2))
</f>
        <v>Pickup</v>
      </c>
      <c r="N94" s="2">
        <f t="shared" si="9"/>
        <v>5</v>
      </c>
    </row>
    <row r="95">
      <c r="A95" s="2">
        <f t="shared" si="1"/>
        <v>94</v>
      </c>
      <c r="B95" s="3">
        <f t="shared" si="2"/>
        <v>45324</v>
      </c>
      <c r="C95" s="3">
        <f t="shared" si="3"/>
        <v>45343</v>
      </c>
      <c r="D95" s="3" t="str">
        <f t="shared" si="4"/>
        <v>Completed</v>
      </c>
      <c r="E95" s="2">
        <f t="shared" si="5"/>
        <v>19</v>
      </c>
      <c r="F95" s="2" t="str">
        <f t="array" ref="F95">INDEX(lists!F:F,RANDBETWEEN(1,6))
</f>
        <v>Bedroom</v>
      </c>
      <c r="G95" s="2" t="str">
        <f t="array" ref="G95">IFS(
F95="Bedroom",INDEX(lists!G:G,RANDBETWEEN(1,4)),
F95="Living Room",INDEX(lists!H:H,RANDBETWEEN(1,4)),
F95="Dining",INDEX(lists!I:I,RANDBETWEEN(1,2)),
F95="Kitchen",INDEX(lists!J:J,RANDBETWEEN(1,4)),
F95="Office",INDEX(lists!K:K,RANDBETWEEN(1,3)),
F95="Household Essentials",INDEX(lists!L:L,RANDBETWEEN(1,3))
)
</f>
        <v>Bed Frame</v>
      </c>
      <c r="H95" s="2">
        <f t="shared" si="6"/>
        <v>4</v>
      </c>
      <c r="I95" s="2">
        <f t="shared" si="7"/>
        <v>1</v>
      </c>
      <c r="J95" s="2" t="str">
        <f t="array" ref="J95">INDEX(lists!A:A,RANDBETWEEN(1,19))
</f>
        <v>Rowe Ford Westbrook</v>
      </c>
      <c r="K95" s="2" t="str">
        <f t="array" ref="K95">INDEX(lists!N:N,RANDBETWEEN(1,6))
</f>
        <v>Falmouth</v>
      </c>
      <c r="L95" s="2">
        <f t="shared" si="8"/>
        <v>5</v>
      </c>
      <c r="M95" s="2" t="str">
        <f t="array" ref="M95">INDEX(lists!O:O,RANDBETWEEN(1,2))
</f>
        <v>Delivery</v>
      </c>
      <c r="N95" s="2">
        <f t="shared" si="9"/>
        <v>5</v>
      </c>
    </row>
    <row r="96">
      <c r="A96" s="2">
        <f t="shared" si="1"/>
        <v>95</v>
      </c>
      <c r="B96" s="3">
        <f t="shared" si="2"/>
        <v>45462</v>
      </c>
      <c r="C96" s="3">
        <f t="shared" si="3"/>
        <v>45479</v>
      </c>
      <c r="D96" s="3" t="str">
        <f t="shared" si="4"/>
        <v>Completed</v>
      </c>
      <c r="E96" s="2">
        <f t="shared" si="5"/>
        <v>17</v>
      </c>
      <c r="F96" s="2" t="str">
        <f t="array" ref="F96">INDEX(lists!F:F,RANDBETWEEN(1,6))
</f>
        <v>Kitchen</v>
      </c>
      <c r="G96" s="2" t="str">
        <f t="array" ref="G96">IFS(
F96="Bedroom",INDEX(lists!G:G,RANDBETWEEN(1,4)),
F96="Living Room",INDEX(lists!H:H,RANDBETWEEN(1,4)),
F96="Dining",INDEX(lists!I:I,RANDBETWEEN(1,2)),
F96="Kitchen",INDEX(lists!J:J,RANDBETWEEN(1,4)),
F96="Office",INDEX(lists!K:K,RANDBETWEEN(1,3)),
F96="Household Essentials",INDEX(lists!L:L,RANDBETWEEN(1,3))
)
</f>
        <v>Microwave</v>
      </c>
      <c r="H96" s="2">
        <f t="shared" si="6"/>
        <v>4</v>
      </c>
      <c r="I96" s="2">
        <f t="shared" si="7"/>
        <v>2</v>
      </c>
      <c r="J96" s="2" t="str">
        <f t="array" ref="J96">INDEX(lists!A:A,RANDBETWEEN(1,19))
</f>
        <v>Shutterbugs 4 Charity</v>
      </c>
      <c r="K96" s="2" t="str">
        <f t="array" ref="K96">INDEX(lists!N:N,RANDBETWEEN(1,6))
</f>
        <v>Westbrook</v>
      </c>
      <c r="L96" s="2">
        <f t="shared" si="8"/>
        <v>5</v>
      </c>
      <c r="M96" s="2" t="str">
        <f t="array" ref="M96">INDEX(lists!O:O,RANDBETWEEN(1,2))
</f>
        <v>Pickup</v>
      </c>
      <c r="N96" s="2">
        <f t="shared" si="9"/>
        <v>2</v>
      </c>
    </row>
    <row r="97">
      <c r="A97" s="2">
        <f t="shared" si="1"/>
        <v>96</v>
      </c>
      <c r="B97" s="3">
        <f t="shared" si="2"/>
        <v>45498</v>
      </c>
      <c r="C97" s="3" t="str">
        <f t="shared" si="3"/>
        <v/>
      </c>
      <c r="D97" s="3" t="str">
        <f t="shared" si="4"/>
        <v>Pending</v>
      </c>
      <c r="E97" s="2" t="str">
        <f t="shared" si="5"/>
        <v/>
      </c>
      <c r="F97" s="2" t="str">
        <f t="array" ref="F97">INDEX(lists!F:F,RANDBETWEEN(1,6))
</f>
        <v>Household Essentials</v>
      </c>
      <c r="G97" s="2" t="str">
        <f t="array" ref="G97">IFS(
F97="Bedroom",INDEX(lists!G:G,RANDBETWEEN(1,4)),
F97="Living Room",INDEX(lists!H:H,RANDBETWEEN(1,4)),
F97="Dining",INDEX(lists!I:I,RANDBETWEEN(1,2)),
F97="Kitchen",INDEX(lists!J:J,RANDBETWEEN(1,4)),
F97="Office",INDEX(lists!K:K,RANDBETWEEN(1,3)),
F97="Household Essentials",INDEX(lists!L:L,RANDBETWEEN(1,3))
)
</f>
        <v>Rugs</v>
      </c>
      <c r="H97" s="2">
        <f t="shared" si="6"/>
        <v>2</v>
      </c>
      <c r="I97" s="2" t="str">
        <f t="shared" si="7"/>
        <v/>
      </c>
      <c r="J97" s="2" t="str">
        <f t="array" ref="J97">INDEX(lists!A:A,RANDBETWEEN(1,19))
</f>
        <v>Systems Engineering</v>
      </c>
      <c r="K97" s="2" t="str">
        <f t="array" ref="K97">INDEX(lists!N:N,RANDBETWEEN(1,6))
</f>
        <v>Scarborough</v>
      </c>
      <c r="L97" s="2">
        <f t="shared" si="8"/>
        <v>2</v>
      </c>
      <c r="M97" s="2" t="str">
        <f t="array" ref="M97">INDEX(lists!O:O,RANDBETWEEN(1,2))
</f>
        <v>Delivery</v>
      </c>
      <c r="N97" s="2">
        <f t="shared" si="9"/>
        <v>6</v>
      </c>
    </row>
    <row r="98">
      <c r="A98" s="2">
        <f t="shared" si="1"/>
        <v>97</v>
      </c>
      <c r="B98" s="3">
        <f t="shared" si="2"/>
        <v>45338</v>
      </c>
      <c r="C98" s="3" t="str">
        <f t="shared" si="3"/>
        <v/>
      </c>
      <c r="D98" s="3" t="str">
        <f t="shared" si="4"/>
        <v>Pending</v>
      </c>
      <c r="E98" s="2" t="str">
        <f t="shared" si="5"/>
        <v/>
      </c>
      <c r="F98" s="2" t="str">
        <f t="array" ref="F98">INDEX(lists!F:F,RANDBETWEEN(1,6))
</f>
        <v>Household Essentials</v>
      </c>
      <c r="G98" s="2" t="str">
        <f t="array" ref="G98">IFS(
F98="Bedroom",INDEX(lists!G:G,RANDBETWEEN(1,4)),
F98="Living Room",INDEX(lists!H:H,RANDBETWEEN(1,4)),
F98="Dining",INDEX(lists!I:I,RANDBETWEEN(1,2)),
F98="Kitchen",INDEX(lists!J:J,RANDBETWEEN(1,4)),
F98="Office",INDEX(lists!K:K,RANDBETWEEN(1,3)),
F98="Household Essentials",INDEX(lists!L:L,RANDBETWEEN(1,3))
)
</f>
        <v>Rugs</v>
      </c>
      <c r="H98" s="2">
        <f t="shared" si="6"/>
        <v>3</v>
      </c>
      <c r="I98" s="2" t="str">
        <f t="shared" si="7"/>
        <v/>
      </c>
      <c r="J98" s="2" t="str">
        <f t="array" ref="J98">INDEX(lists!A:A,RANDBETWEEN(1,19))
</f>
        <v>Keybank</v>
      </c>
      <c r="K98" s="2" t="str">
        <f t="array" ref="K98">INDEX(lists!N:N,RANDBETWEEN(1,6))
</f>
        <v>Westbrook</v>
      </c>
      <c r="L98" s="2">
        <f t="shared" si="8"/>
        <v>1</v>
      </c>
      <c r="M98" s="2" t="str">
        <f t="array" ref="M98">INDEX(lists!O:O,RANDBETWEEN(1,2))
</f>
        <v>Delivery</v>
      </c>
      <c r="N98" s="2">
        <f t="shared" si="9"/>
        <v>1</v>
      </c>
    </row>
    <row r="99">
      <c r="A99" s="2">
        <f t="shared" si="1"/>
        <v>98</v>
      </c>
      <c r="B99" s="3">
        <f t="shared" si="2"/>
        <v>45374</v>
      </c>
      <c r="C99" s="3">
        <f t="shared" si="3"/>
        <v>45383</v>
      </c>
      <c r="D99" s="3" t="str">
        <f t="shared" si="4"/>
        <v>Completed</v>
      </c>
      <c r="E99" s="2">
        <f t="shared" si="5"/>
        <v>9</v>
      </c>
      <c r="F99" s="2" t="str">
        <f t="array" ref="F99">INDEX(lists!F:F,RANDBETWEEN(1,6))
</f>
        <v>Bedroom</v>
      </c>
      <c r="G99" s="2" t="str">
        <f t="array" ref="G99">IFS(
F99="Bedroom",INDEX(lists!G:G,RANDBETWEEN(1,4)),
F99="Living Room",INDEX(lists!H:H,RANDBETWEEN(1,4)),
F99="Dining",INDEX(lists!I:I,RANDBETWEEN(1,2)),
F99="Kitchen",INDEX(lists!J:J,RANDBETWEEN(1,4)),
F99="Office",INDEX(lists!K:K,RANDBETWEEN(1,3)),
F99="Household Essentials",INDEX(lists!L:L,RANDBETWEEN(1,3))
)
</f>
        <v>Nightstand</v>
      </c>
      <c r="H99" s="2">
        <f t="shared" si="6"/>
        <v>4</v>
      </c>
      <c r="I99" s="2">
        <f t="shared" si="7"/>
        <v>4</v>
      </c>
      <c r="J99" s="2" t="str">
        <f t="array" ref="J99">INDEX(lists!A:A,RANDBETWEEN(1,19))
</f>
        <v>Developers Collaborative</v>
      </c>
      <c r="K99" s="2" t="str">
        <f t="array" ref="K99">INDEX(lists!N:N,RANDBETWEEN(1,6))
</f>
        <v>Westbrook</v>
      </c>
      <c r="L99" s="2">
        <f t="shared" si="8"/>
        <v>4</v>
      </c>
      <c r="M99" s="2" t="str">
        <f t="array" ref="M99">INDEX(lists!O:O,RANDBETWEEN(1,2))
</f>
        <v>Delivery</v>
      </c>
      <c r="N99" s="2">
        <f t="shared" si="9"/>
        <v>3</v>
      </c>
    </row>
    <row r="100">
      <c r="A100" s="2">
        <f t="shared" si="1"/>
        <v>99</v>
      </c>
      <c r="B100" s="3">
        <f t="shared" si="2"/>
        <v>45542</v>
      </c>
      <c r="C100" s="3">
        <f t="shared" si="3"/>
        <v>45553</v>
      </c>
      <c r="D100" s="3" t="str">
        <f t="shared" si="4"/>
        <v>Completed</v>
      </c>
      <c r="E100" s="2">
        <f t="shared" si="5"/>
        <v>11</v>
      </c>
      <c r="F100" s="2" t="str">
        <f t="array" ref="F100">INDEX(lists!F:F,RANDBETWEEN(1,6))
</f>
        <v>Kitchen</v>
      </c>
      <c r="G100" s="2" t="str">
        <f t="array" ref="G100">IFS(
F100="Bedroom",INDEX(lists!G:G,RANDBETWEEN(1,4)),
F100="Living Room",INDEX(lists!H:H,RANDBETWEEN(1,4)),
F100="Dining",INDEX(lists!I:I,RANDBETWEEN(1,2)),
F100="Kitchen",INDEX(lists!J:J,RANDBETWEEN(1,4)),
F100="Office",INDEX(lists!K:K,RANDBETWEEN(1,3)),
F100="Household Essentials",INDEX(lists!L:L,RANDBETWEEN(1,3))
)
</f>
        <v>Pots &amp; Pans</v>
      </c>
      <c r="H100" s="2">
        <f t="shared" si="6"/>
        <v>3</v>
      </c>
      <c r="I100" s="2">
        <f t="shared" si="7"/>
        <v>2</v>
      </c>
      <c r="J100" s="2" t="str">
        <f t="array" ref="J100">INDEX(lists!A:A,RANDBETWEEN(1,19))
</f>
        <v>Rowe Ford Westbrook</v>
      </c>
      <c r="K100" s="2" t="str">
        <f t="array" ref="K100">INDEX(lists!N:N,RANDBETWEEN(1,6))
</f>
        <v>Biddeford</v>
      </c>
      <c r="L100" s="2">
        <f t="shared" si="8"/>
        <v>3</v>
      </c>
      <c r="M100" s="2" t="str">
        <f t="array" ref="M100">INDEX(lists!O:O,RANDBETWEEN(1,2))
</f>
        <v>Pickup</v>
      </c>
      <c r="N100" s="2">
        <f t="shared" si="9"/>
        <v>5</v>
      </c>
    </row>
    <row r="101">
      <c r="A101" s="2">
        <f t="shared" si="1"/>
        <v>100</v>
      </c>
      <c r="B101" s="3">
        <f t="shared" si="2"/>
        <v>45673</v>
      </c>
      <c r="C101" s="3">
        <f t="shared" si="3"/>
        <v>45712</v>
      </c>
      <c r="D101" s="3" t="str">
        <f t="shared" si="4"/>
        <v>Completed</v>
      </c>
      <c r="E101" s="2">
        <f t="shared" si="5"/>
        <v>39</v>
      </c>
      <c r="F101" s="2" t="str">
        <f t="array" ref="F101">INDEX(lists!F:F,RANDBETWEEN(1,6))
</f>
        <v>Office</v>
      </c>
      <c r="G101" s="2" t="str">
        <f t="array" ref="G101">IFS(
F101="Bedroom",INDEX(lists!G:G,RANDBETWEEN(1,4)),
F101="Living Room",INDEX(lists!H:H,RANDBETWEEN(1,4)),
F101="Dining",INDEX(lists!I:I,RANDBETWEEN(1,2)),
F101="Kitchen",INDEX(lists!J:J,RANDBETWEEN(1,4)),
F101="Office",INDEX(lists!K:K,RANDBETWEEN(1,3)),
F101="Household Essentials",INDEX(lists!L:L,RANDBETWEEN(1,3))
)
</f>
        <v>Desk</v>
      </c>
      <c r="H101" s="2">
        <f t="shared" si="6"/>
        <v>4</v>
      </c>
      <c r="I101" s="2">
        <f t="shared" si="7"/>
        <v>4</v>
      </c>
      <c r="J101" s="2" t="str">
        <f t="array" ref="J101">INDEX(lists!A:A,RANDBETWEEN(1,19))
</f>
        <v>NewHeight Group</v>
      </c>
      <c r="K101" s="2" t="str">
        <f t="array" ref="K101">INDEX(lists!N:N,RANDBETWEEN(1,6))
</f>
        <v>South Portland</v>
      </c>
      <c r="L101" s="2">
        <f t="shared" si="8"/>
        <v>6</v>
      </c>
      <c r="M101" s="2" t="str">
        <f t="array" ref="M101">INDEX(lists!O:O,RANDBETWEEN(1,2))
</f>
        <v>Pickup</v>
      </c>
      <c r="N101" s="2">
        <f t="shared" si="9"/>
        <v>4</v>
      </c>
    </row>
    <row r="102">
      <c r="A102" s="2">
        <f t="shared" si="1"/>
        <v>101</v>
      </c>
      <c r="B102" s="3">
        <f t="shared" si="2"/>
        <v>45459</v>
      </c>
      <c r="C102" s="3">
        <f t="shared" si="3"/>
        <v>45465</v>
      </c>
      <c r="D102" s="3" t="str">
        <f t="shared" si="4"/>
        <v>Completed</v>
      </c>
      <c r="E102" s="2">
        <f t="shared" si="5"/>
        <v>6</v>
      </c>
      <c r="F102" s="2" t="str">
        <f t="array" ref="F102">INDEX(lists!F:F,RANDBETWEEN(1,6))
</f>
        <v>Dining</v>
      </c>
      <c r="G102" s="2" t="str">
        <f t="array" ref="G102">IFS(
F102="Bedroom",INDEX(lists!G:G,RANDBETWEEN(1,4)),
F102="Living Room",INDEX(lists!H:H,RANDBETWEEN(1,4)),
F102="Dining",INDEX(lists!I:I,RANDBETWEEN(1,2)),
F102="Kitchen",INDEX(lists!J:J,RANDBETWEEN(1,4)),
F102="Office",INDEX(lists!K:K,RANDBETWEEN(1,3)),
F102="Household Essentials",INDEX(lists!L:L,RANDBETWEEN(1,3))
)
</f>
        <v>Dining Table</v>
      </c>
      <c r="H102" s="2">
        <f t="shared" si="6"/>
        <v>4</v>
      </c>
      <c r="I102" s="2">
        <f t="shared" si="7"/>
        <v>4</v>
      </c>
      <c r="J102" s="2" t="str">
        <f t="array" ref="J102">INDEX(lists!A:A,RANDBETWEEN(1,19))
</f>
        <v>Systems Engineering</v>
      </c>
      <c r="K102" s="2" t="str">
        <f t="array" ref="K102">INDEX(lists!N:N,RANDBETWEEN(1,6))
</f>
        <v>Scarborough</v>
      </c>
      <c r="L102" s="2">
        <f t="shared" si="8"/>
        <v>2</v>
      </c>
      <c r="M102" s="2" t="str">
        <f t="array" ref="M102">INDEX(lists!O:O,RANDBETWEEN(1,2))
</f>
        <v>Delivery</v>
      </c>
      <c r="N102" s="2">
        <f t="shared" si="9"/>
        <v>5</v>
      </c>
    </row>
    <row r="103">
      <c r="A103" s="2">
        <f t="shared" si="1"/>
        <v>102</v>
      </c>
      <c r="B103" s="3">
        <f t="shared" si="2"/>
        <v>45818</v>
      </c>
      <c r="C103" s="3">
        <f t="shared" si="3"/>
        <v>45821</v>
      </c>
      <c r="D103" s="3" t="str">
        <f t="shared" si="4"/>
        <v>Completed</v>
      </c>
      <c r="E103" s="2">
        <f t="shared" si="5"/>
        <v>3</v>
      </c>
      <c r="F103" s="2" t="str">
        <f t="array" ref="F103">INDEX(lists!F:F,RANDBETWEEN(1,6))
</f>
        <v>Office</v>
      </c>
      <c r="G103" s="2" t="str">
        <f t="array" ref="G103">IFS(
F103="Bedroom",INDEX(lists!G:G,RANDBETWEEN(1,4)),
F103="Living Room",INDEX(lists!H:H,RANDBETWEEN(1,4)),
F103="Dining",INDEX(lists!I:I,RANDBETWEEN(1,2)),
F103="Kitchen",INDEX(lists!J:J,RANDBETWEEN(1,4)),
F103="Office",INDEX(lists!K:K,RANDBETWEEN(1,3)),
F103="Household Essentials",INDEX(lists!L:L,RANDBETWEEN(1,3))
)
</f>
        <v>Desk</v>
      </c>
      <c r="H103" s="2">
        <f t="shared" si="6"/>
        <v>2</v>
      </c>
      <c r="I103" s="2">
        <f t="shared" si="7"/>
        <v>1</v>
      </c>
      <c r="J103" s="2" t="str">
        <f t="array" ref="J103">INDEX(lists!A:A,RANDBETWEEN(1,19))
</f>
        <v>J.B Brown and Sons</v>
      </c>
      <c r="K103" s="2" t="str">
        <f t="array" ref="K103">INDEX(lists!N:N,RANDBETWEEN(1,6))
</f>
        <v>Westbrook</v>
      </c>
      <c r="L103" s="2">
        <f t="shared" si="8"/>
        <v>1</v>
      </c>
      <c r="M103" s="2" t="str">
        <f t="array" ref="M103">INDEX(lists!O:O,RANDBETWEEN(1,2))
</f>
        <v>Delivery</v>
      </c>
      <c r="N103" s="2">
        <f t="shared" si="9"/>
        <v>5</v>
      </c>
    </row>
    <row r="104">
      <c r="A104" s="2">
        <f t="shared" si="1"/>
        <v>103</v>
      </c>
      <c r="B104" s="3">
        <f t="shared" si="2"/>
        <v>45558</v>
      </c>
      <c r="C104" s="3">
        <f t="shared" si="3"/>
        <v>45562</v>
      </c>
      <c r="D104" s="3" t="str">
        <f t="shared" si="4"/>
        <v>Completed</v>
      </c>
      <c r="E104" s="2">
        <f t="shared" si="5"/>
        <v>4</v>
      </c>
      <c r="F104" s="2" t="str">
        <f t="array" ref="F104">INDEX(lists!F:F,RANDBETWEEN(1,6))
</f>
        <v>Living Room</v>
      </c>
      <c r="G104" s="2" t="str">
        <f t="array" ref="G104">IFS(
F104="Bedroom",INDEX(lists!G:G,RANDBETWEEN(1,4)),
F104="Living Room",INDEX(lists!H:H,RANDBETWEEN(1,4)),
F104="Dining",INDEX(lists!I:I,RANDBETWEEN(1,2)),
F104="Kitchen",INDEX(lists!J:J,RANDBETWEEN(1,4)),
F104="Office",INDEX(lists!K:K,RANDBETWEEN(1,3)),
F104="Household Essentials",INDEX(lists!L:L,RANDBETWEEN(1,3))
)
</f>
        <v>TV Stand</v>
      </c>
      <c r="H104" s="2">
        <f t="shared" si="6"/>
        <v>2</v>
      </c>
      <c r="I104" s="2">
        <f t="shared" si="7"/>
        <v>1</v>
      </c>
      <c r="J104" s="2" t="str">
        <f t="array" ref="J104">INDEX(lists!A:A,RANDBETWEEN(1,19))
</f>
        <v>Center for Real Estate Studies</v>
      </c>
      <c r="K104" s="2" t="str">
        <f t="array" ref="K104">INDEX(lists!N:N,RANDBETWEEN(1,6))
</f>
        <v>Westbrook</v>
      </c>
      <c r="L104" s="2">
        <f t="shared" si="8"/>
        <v>2</v>
      </c>
      <c r="M104" s="2" t="str">
        <f t="array" ref="M104">INDEX(lists!O:O,RANDBETWEEN(1,2))
</f>
        <v>Delivery</v>
      </c>
      <c r="N104" s="2">
        <f t="shared" si="9"/>
        <v>5</v>
      </c>
    </row>
    <row r="105">
      <c r="A105" s="2">
        <f t="shared" si="1"/>
        <v>104</v>
      </c>
      <c r="B105" s="3">
        <f t="shared" si="2"/>
        <v>45605</v>
      </c>
      <c r="C105" s="3">
        <f t="shared" si="3"/>
        <v>45610</v>
      </c>
      <c r="D105" s="3" t="str">
        <f t="shared" si="4"/>
        <v>Completed</v>
      </c>
      <c r="E105" s="2">
        <f t="shared" si="5"/>
        <v>5</v>
      </c>
      <c r="F105" s="2" t="str">
        <f t="array" ref="F105">INDEX(lists!F:F,RANDBETWEEN(1,6))
</f>
        <v>Dining</v>
      </c>
      <c r="G105" s="2" t="str">
        <f t="array" ref="G105">IFS(
F105="Bedroom",INDEX(lists!G:G,RANDBETWEEN(1,4)),
F105="Living Room",INDEX(lists!H:H,RANDBETWEEN(1,4)),
F105="Dining",INDEX(lists!I:I,RANDBETWEEN(1,2)),
F105="Kitchen",INDEX(lists!J:J,RANDBETWEEN(1,4)),
F105="Office",INDEX(lists!K:K,RANDBETWEEN(1,3)),
F105="Household Essentials",INDEX(lists!L:L,RANDBETWEEN(1,3))
)
</f>
        <v>Dining Table</v>
      </c>
      <c r="H105" s="2">
        <f t="shared" si="6"/>
        <v>3</v>
      </c>
      <c r="I105" s="2">
        <f t="shared" si="7"/>
        <v>1</v>
      </c>
      <c r="J105" s="2" t="str">
        <f t="array" ref="J105">INDEX(lists!A:A,RANDBETWEEN(1,19))
</f>
        <v>Diversified</v>
      </c>
      <c r="K105" s="2" t="str">
        <f t="array" ref="K105">INDEX(lists!N:N,RANDBETWEEN(1,6))
</f>
        <v>Falmouth</v>
      </c>
      <c r="L105" s="2">
        <f t="shared" si="8"/>
        <v>2</v>
      </c>
      <c r="M105" s="2" t="str">
        <f t="array" ref="M105">INDEX(lists!O:O,RANDBETWEEN(1,2))
</f>
        <v>Pickup</v>
      </c>
      <c r="N105" s="2">
        <f t="shared" si="9"/>
        <v>2</v>
      </c>
    </row>
    <row r="106">
      <c r="A106" s="2">
        <f t="shared" si="1"/>
        <v>105</v>
      </c>
      <c r="B106" s="3">
        <f t="shared" si="2"/>
        <v>45622</v>
      </c>
      <c r="C106" s="3">
        <f t="shared" si="3"/>
        <v>45629</v>
      </c>
      <c r="D106" s="3" t="str">
        <f t="shared" si="4"/>
        <v>Completed</v>
      </c>
      <c r="E106" s="2">
        <f t="shared" si="5"/>
        <v>7</v>
      </c>
      <c r="F106" s="2" t="str">
        <f t="array" ref="F106">INDEX(lists!F:F,RANDBETWEEN(1,6))
</f>
        <v>Household Essentials</v>
      </c>
      <c r="G106" s="2" t="str">
        <f t="array" ref="G106">IFS(
F106="Bedroom",INDEX(lists!G:G,RANDBETWEEN(1,4)),
F106="Living Room",INDEX(lists!H:H,RANDBETWEEN(1,4)),
F106="Dining",INDEX(lists!I:I,RANDBETWEEN(1,2)),
F106="Kitchen",INDEX(lists!J:J,RANDBETWEEN(1,4)),
F106="Office",INDEX(lists!K:K,RANDBETWEEN(1,3)),
F106="Household Essentials",INDEX(lists!L:L,RANDBETWEEN(1,3))
)
</f>
        <v>Rugs</v>
      </c>
      <c r="H106" s="2">
        <f t="shared" si="6"/>
        <v>4</v>
      </c>
      <c r="I106" s="2">
        <f t="shared" si="7"/>
        <v>1</v>
      </c>
      <c r="J106" s="2" t="str">
        <f t="array" ref="J106">INDEX(lists!A:A,RANDBETWEEN(1,19))
</f>
        <v>Portland Mattress Makers</v>
      </c>
      <c r="K106" s="2" t="str">
        <f t="array" ref="K106">INDEX(lists!N:N,RANDBETWEEN(1,6))
</f>
        <v>Westbrook</v>
      </c>
      <c r="L106" s="2">
        <f t="shared" si="8"/>
        <v>2</v>
      </c>
      <c r="M106" s="2" t="str">
        <f t="array" ref="M106">INDEX(lists!O:O,RANDBETWEEN(1,2))
</f>
        <v>Delivery</v>
      </c>
      <c r="N106" s="2">
        <f t="shared" si="9"/>
        <v>4</v>
      </c>
    </row>
    <row r="107">
      <c r="A107" s="2">
        <f t="shared" si="1"/>
        <v>106</v>
      </c>
      <c r="B107" s="3">
        <f t="shared" si="2"/>
        <v>45790</v>
      </c>
      <c r="C107" s="3">
        <f t="shared" si="3"/>
        <v>45796</v>
      </c>
      <c r="D107" s="3" t="str">
        <f t="shared" si="4"/>
        <v>Completed</v>
      </c>
      <c r="E107" s="2">
        <f t="shared" si="5"/>
        <v>6</v>
      </c>
      <c r="F107" s="2" t="str">
        <f t="array" ref="F107">INDEX(lists!F:F,RANDBETWEEN(1,6))
</f>
        <v>Bedroom</v>
      </c>
      <c r="G107" s="2" t="str">
        <f t="array" ref="G107">IFS(
F107="Bedroom",INDEX(lists!G:G,RANDBETWEEN(1,4)),
F107="Living Room",INDEX(lists!H:H,RANDBETWEEN(1,4)),
F107="Dining",INDEX(lists!I:I,RANDBETWEEN(1,2)),
F107="Kitchen",INDEX(lists!J:J,RANDBETWEEN(1,4)),
F107="Office",INDEX(lists!K:K,RANDBETWEEN(1,3)),
F107="Household Essentials",INDEX(lists!L:L,RANDBETWEEN(1,3))
)
</f>
        <v>Bed Frame</v>
      </c>
      <c r="H107" s="2">
        <f t="shared" si="6"/>
        <v>2</v>
      </c>
      <c r="I107" s="2">
        <f t="shared" si="7"/>
        <v>2</v>
      </c>
      <c r="J107" s="2" t="str">
        <f t="array" ref="J107">INDEX(lists!A:A,RANDBETWEEN(1,19))
</f>
        <v>NewHeight Group</v>
      </c>
      <c r="K107" s="2" t="str">
        <f t="array" ref="K107">INDEX(lists!N:N,RANDBETWEEN(1,6))
</f>
        <v>Falmouth</v>
      </c>
      <c r="L107" s="2">
        <f t="shared" si="8"/>
        <v>2</v>
      </c>
      <c r="M107" s="2" t="str">
        <f t="array" ref="M107">INDEX(lists!O:O,RANDBETWEEN(1,2))
</f>
        <v>Pickup</v>
      </c>
      <c r="N107" s="2">
        <f t="shared" si="9"/>
        <v>6</v>
      </c>
    </row>
    <row r="108">
      <c r="A108" s="2">
        <f t="shared" si="1"/>
        <v>107</v>
      </c>
      <c r="B108" s="3">
        <f t="shared" si="2"/>
        <v>45597</v>
      </c>
      <c r="C108" s="3">
        <f t="shared" si="3"/>
        <v>45603</v>
      </c>
      <c r="D108" s="3" t="str">
        <f t="shared" si="4"/>
        <v>Completed</v>
      </c>
      <c r="E108" s="2">
        <f t="shared" si="5"/>
        <v>6</v>
      </c>
      <c r="F108" s="2" t="str">
        <f t="array" ref="F108">INDEX(lists!F:F,RANDBETWEEN(1,6))
</f>
        <v>Bedroom</v>
      </c>
      <c r="G108" s="2" t="str">
        <f t="array" ref="G108">IFS(
F108="Bedroom",INDEX(lists!G:G,RANDBETWEEN(1,4)),
F108="Living Room",INDEX(lists!H:H,RANDBETWEEN(1,4)),
F108="Dining",INDEX(lists!I:I,RANDBETWEEN(1,2)),
F108="Kitchen",INDEX(lists!J:J,RANDBETWEEN(1,4)),
F108="Office",INDEX(lists!K:K,RANDBETWEEN(1,3)),
F108="Household Essentials",INDEX(lists!L:L,RANDBETWEEN(1,3))
)
</f>
        <v>Bed Frame</v>
      </c>
      <c r="H108" s="2">
        <f t="shared" si="6"/>
        <v>3</v>
      </c>
      <c r="I108" s="2">
        <f t="shared" si="7"/>
        <v>3</v>
      </c>
      <c r="J108" s="2" t="str">
        <f t="array" ref="J108">INDEX(lists!A:A,RANDBETWEEN(1,19))
</f>
        <v>Portland Mattress Makers</v>
      </c>
      <c r="K108" s="2" t="str">
        <f t="array" ref="K108">INDEX(lists!N:N,RANDBETWEEN(1,6))
</f>
        <v>South Portland</v>
      </c>
      <c r="L108" s="2">
        <f t="shared" si="8"/>
        <v>5</v>
      </c>
      <c r="M108" s="2" t="str">
        <f t="array" ref="M108">INDEX(lists!O:O,RANDBETWEEN(1,2))
</f>
        <v>Delivery</v>
      </c>
      <c r="N108" s="2">
        <f t="shared" si="9"/>
        <v>2</v>
      </c>
    </row>
    <row r="109">
      <c r="A109" s="2">
        <f t="shared" si="1"/>
        <v>108</v>
      </c>
      <c r="B109" s="3">
        <f t="shared" si="2"/>
        <v>45301</v>
      </c>
      <c r="C109" s="3" t="str">
        <f t="shared" si="3"/>
        <v/>
      </c>
      <c r="D109" s="3" t="str">
        <f t="shared" si="4"/>
        <v>Pending</v>
      </c>
      <c r="E109" s="2" t="str">
        <f t="shared" si="5"/>
        <v/>
      </c>
      <c r="F109" s="2" t="str">
        <f t="array" ref="F109">INDEX(lists!F:F,RANDBETWEEN(1,6))
</f>
        <v>Household Essentials</v>
      </c>
      <c r="G109" s="2" t="str">
        <f t="array" ref="G109">IFS(
F109="Bedroom",INDEX(lists!G:G,RANDBETWEEN(1,4)),
F109="Living Room",INDEX(lists!H:H,RANDBETWEEN(1,4)),
F109="Dining",INDEX(lists!I:I,RANDBETWEEN(1,2)),
F109="Kitchen",INDEX(lists!J:J,RANDBETWEEN(1,4)),
F109="Office",INDEX(lists!K:K,RANDBETWEEN(1,3)),
F109="Household Essentials",INDEX(lists!L:L,RANDBETWEEN(1,3))
)
</f>
        <v>Bedding</v>
      </c>
      <c r="H109" s="2">
        <f t="shared" si="6"/>
        <v>3</v>
      </c>
      <c r="I109" s="2" t="str">
        <f t="shared" si="7"/>
        <v/>
      </c>
      <c r="J109" s="2" t="str">
        <f t="array" ref="J109">INDEX(lists!A:A,RANDBETWEEN(1,19))
</f>
        <v>Coffee By Design</v>
      </c>
      <c r="K109" s="2" t="str">
        <f t="array" ref="K109">INDEX(lists!N:N,RANDBETWEEN(1,6))
</f>
        <v>South Portland</v>
      </c>
      <c r="L109" s="2">
        <f t="shared" si="8"/>
        <v>5</v>
      </c>
      <c r="M109" s="2" t="str">
        <f t="array" ref="M109">INDEX(lists!O:O,RANDBETWEEN(1,2))
</f>
        <v>Pickup</v>
      </c>
      <c r="N109" s="2">
        <f t="shared" si="9"/>
        <v>6</v>
      </c>
    </row>
    <row r="110">
      <c r="A110" s="2">
        <f t="shared" si="1"/>
        <v>109</v>
      </c>
      <c r="B110" s="3">
        <f t="shared" si="2"/>
        <v>45743</v>
      </c>
      <c r="C110" s="3">
        <f t="shared" si="3"/>
        <v>45752</v>
      </c>
      <c r="D110" s="3" t="str">
        <f t="shared" si="4"/>
        <v>Completed</v>
      </c>
      <c r="E110" s="2">
        <f t="shared" si="5"/>
        <v>9</v>
      </c>
      <c r="F110" s="2" t="str">
        <f t="array" ref="F110">INDEX(lists!F:F,RANDBETWEEN(1,6))
</f>
        <v>Dining</v>
      </c>
      <c r="G110" s="2" t="str">
        <f t="array" ref="G110">IFS(
F110="Bedroom",INDEX(lists!G:G,RANDBETWEEN(1,4)),
F110="Living Room",INDEX(lists!H:H,RANDBETWEEN(1,4)),
F110="Dining",INDEX(lists!I:I,RANDBETWEEN(1,2)),
F110="Kitchen",INDEX(lists!J:J,RANDBETWEEN(1,4)),
F110="Office",INDEX(lists!K:K,RANDBETWEEN(1,3)),
F110="Household Essentials",INDEX(lists!L:L,RANDBETWEEN(1,3))
)
</f>
        <v>Dining Chair</v>
      </c>
      <c r="H110" s="2">
        <f t="shared" si="6"/>
        <v>2</v>
      </c>
      <c r="I110" s="2">
        <f t="shared" si="7"/>
        <v>1</v>
      </c>
      <c r="J110" s="2" t="str">
        <f t="array" ref="J110">INDEX(lists!A:A,RANDBETWEEN(1,19))
</f>
        <v>Saco &amp; Biddeford Savings</v>
      </c>
      <c r="K110" s="2" t="str">
        <f t="array" ref="K110">INDEX(lists!N:N,RANDBETWEEN(1,6))
</f>
        <v>Falmouth</v>
      </c>
      <c r="L110" s="2">
        <f t="shared" si="8"/>
        <v>2</v>
      </c>
      <c r="M110" s="2" t="str">
        <f t="array" ref="M110">INDEX(lists!O:O,RANDBETWEEN(1,2))
</f>
        <v>Pickup</v>
      </c>
      <c r="N110" s="2">
        <f t="shared" si="9"/>
        <v>2</v>
      </c>
    </row>
    <row r="111">
      <c r="A111" s="2">
        <f t="shared" si="1"/>
        <v>110</v>
      </c>
      <c r="B111" s="3">
        <f t="shared" si="2"/>
        <v>45678</v>
      </c>
      <c r="C111" s="3">
        <f t="shared" si="3"/>
        <v>45687</v>
      </c>
      <c r="D111" s="3" t="str">
        <f t="shared" si="4"/>
        <v>Completed</v>
      </c>
      <c r="E111" s="2">
        <f t="shared" si="5"/>
        <v>9</v>
      </c>
      <c r="F111" s="2" t="str">
        <f t="array" ref="F111">INDEX(lists!F:F,RANDBETWEEN(1,6))
</f>
        <v>Bedroom</v>
      </c>
      <c r="G111" s="2" t="str">
        <f t="array" ref="G111">IFS(
F111="Bedroom",INDEX(lists!G:G,RANDBETWEEN(1,4)),
F111="Living Room",INDEX(lists!H:H,RANDBETWEEN(1,4)),
F111="Dining",INDEX(lists!I:I,RANDBETWEEN(1,2)),
F111="Kitchen",INDEX(lists!J:J,RANDBETWEEN(1,4)),
F111="Office",INDEX(lists!K:K,RANDBETWEEN(1,3)),
F111="Household Essentials",INDEX(lists!L:L,RANDBETWEEN(1,3))
)
</f>
        <v>Bed Frame</v>
      </c>
      <c r="H111" s="2">
        <f t="shared" si="6"/>
        <v>2</v>
      </c>
      <c r="I111" s="2">
        <f t="shared" si="7"/>
        <v>2</v>
      </c>
      <c r="J111" s="2" t="str">
        <f t="array" ref="J111">INDEX(lists!A:A,RANDBETWEEN(1,19))
</f>
        <v>Westbrook Housing</v>
      </c>
      <c r="K111" s="2" t="str">
        <f t="array" ref="K111">INDEX(lists!N:N,RANDBETWEEN(1,6))
</f>
        <v>Portland</v>
      </c>
      <c r="L111" s="2">
        <f t="shared" si="8"/>
        <v>1</v>
      </c>
      <c r="M111" s="2" t="str">
        <f t="array" ref="M111">INDEX(lists!O:O,RANDBETWEEN(1,2))
</f>
        <v>Delivery</v>
      </c>
      <c r="N111" s="2">
        <f t="shared" si="9"/>
        <v>6</v>
      </c>
    </row>
    <row r="112">
      <c r="A112" s="2">
        <f t="shared" si="1"/>
        <v>111</v>
      </c>
      <c r="B112" s="3">
        <f t="shared" si="2"/>
        <v>45695</v>
      </c>
      <c r="C112" s="3">
        <f t="shared" si="3"/>
        <v>45701</v>
      </c>
      <c r="D112" s="3" t="str">
        <f t="shared" si="4"/>
        <v>Completed</v>
      </c>
      <c r="E112" s="2">
        <f t="shared" si="5"/>
        <v>6</v>
      </c>
      <c r="F112" s="2" t="str">
        <f t="array" ref="F112">INDEX(lists!F:F,RANDBETWEEN(1,6))
</f>
        <v>Bedroom</v>
      </c>
      <c r="G112" s="2" t="str">
        <f t="array" ref="G112">IFS(
F112="Bedroom",INDEX(lists!G:G,RANDBETWEEN(1,4)),
F112="Living Room",INDEX(lists!H:H,RANDBETWEEN(1,4)),
F112="Dining",INDEX(lists!I:I,RANDBETWEEN(1,2)),
F112="Kitchen",INDEX(lists!J:J,RANDBETWEEN(1,4)),
F112="Office",INDEX(lists!K:K,RANDBETWEEN(1,3)),
F112="Household Essentials",INDEX(lists!L:L,RANDBETWEEN(1,3))
)
</f>
        <v>Nightstand</v>
      </c>
      <c r="H112" s="2">
        <f t="shared" si="6"/>
        <v>2</v>
      </c>
      <c r="I112" s="2">
        <f t="shared" si="7"/>
        <v>2</v>
      </c>
      <c r="J112" s="2" t="str">
        <f t="array" ref="J112">INDEX(lists!A:A,RANDBETWEEN(1,19))
</f>
        <v>Systems Engineering</v>
      </c>
      <c r="K112" s="2" t="str">
        <f t="array" ref="K112">INDEX(lists!N:N,RANDBETWEEN(1,6))
</f>
        <v>Biddeford</v>
      </c>
      <c r="L112" s="2">
        <f t="shared" si="8"/>
        <v>4</v>
      </c>
      <c r="M112" s="2" t="str">
        <f t="array" ref="M112">INDEX(lists!O:O,RANDBETWEEN(1,2))
</f>
        <v>Delivery</v>
      </c>
      <c r="N112" s="2">
        <f t="shared" si="9"/>
        <v>6</v>
      </c>
    </row>
    <row r="113">
      <c r="A113" s="2">
        <f t="shared" si="1"/>
        <v>112</v>
      </c>
      <c r="B113" s="3">
        <f t="shared" si="2"/>
        <v>45459</v>
      </c>
      <c r="C113" s="3">
        <f t="shared" si="3"/>
        <v>45470</v>
      </c>
      <c r="D113" s="3" t="str">
        <f t="shared" si="4"/>
        <v>Completed</v>
      </c>
      <c r="E113" s="2">
        <f t="shared" si="5"/>
        <v>11</v>
      </c>
      <c r="F113" s="2" t="str">
        <f t="array" ref="F113">INDEX(lists!F:F,RANDBETWEEN(1,6))
</f>
        <v>Living Room</v>
      </c>
      <c r="G113" s="2" t="str">
        <f t="array" ref="G113">IFS(
F113="Bedroom",INDEX(lists!G:G,RANDBETWEEN(1,4)),
F113="Living Room",INDEX(lists!H:H,RANDBETWEEN(1,4)),
F113="Dining",INDEX(lists!I:I,RANDBETWEEN(1,2)),
F113="Kitchen",INDEX(lists!J:J,RANDBETWEEN(1,4)),
F113="Office",INDEX(lists!K:K,RANDBETWEEN(1,3)),
F113="Household Essentials",INDEX(lists!L:L,RANDBETWEEN(1,3))
)
</f>
        <v>Coffee Table</v>
      </c>
      <c r="H113" s="2">
        <f t="shared" si="6"/>
        <v>2</v>
      </c>
      <c r="I113" s="2">
        <f t="shared" si="7"/>
        <v>1</v>
      </c>
      <c r="J113" s="2" t="str">
        <f t="array" ref="J113">INDEX(lists!A:A,RANDBETWEEN(1,19))
</f>
        <v>Shutterbugs 4 Charity</v>
      </c>
      <c r="K113" s="2" t="str">
        <f t="array" ref="K113">INDEX(lists!N:N,RANDBETWEEN(1,6))
</f>
        <v>South Portland</v>
      </c>
      <c r="L113" s="2">
        <f t="shared" si="8"/>
        <v>2</v>
      </c>
      <c r="M113" s="2" t="str">
        <f t="array" ref="M113">INDEX(lists!O:O,RANDBETWEEN(1,2))
</f>
        <v>Delivery</v>
      </c>
      <c r="N113" s="2">
        <f t="shared" si="9"/>
        <v>1</v>
      </c>
    </row>
    <row r="114">
      <c r="A114" s="2">
        <f t="shared" si="1"/>
        <v>113</v>
      </c>
      <c r="B114" s="3">
        <f t="shared" si="2"/>
        <v>45739</v>
      </c>
      <c r="C114" s="3">
        <f t="shared" si="3"/>
        <v>45750</v>
      </c>
      <c r="D114" s="3" t="str">
        <f t="shared" si="4"/>
        <v>Completed</v>
      </c>
      <c r="E114" s="2">
        <f t="shared" si="5"/>
        <v>11</v>
      </c>
      <c r="F114" s="2" t="str">
        <f t="array" ref="F114">INDEX(lists!F:F,RANDBETWEEN(1,6))
</f>
        <v>Household Essentials</v>
      </c>
      <c r="G114" s="2" t="str">
        <f t="array" ref="G114">IFS(
F114="Bedroom",INDEX(lists!G:G,RANDBETWEEN(1,4)),
F114="Living Room",INDEX(lists!H:H,RANDBETWEEN(1,4)),
F114="Dining",INDEX(lists!I:I,RANDBETWEEN(1,2)),
F114="Kitchen",INDEX(lists!J:J,RANDBETWEEN(1,4)),
F114="Office",INDEX(lists!K:K,RANDBETWEEN(1,3)),
F114="Household Essentials",INDEX(lists!L:L,RANDBETWEEN(1,3))
)
</f>
        <v>Rugs</v>
      </c>
      <c r="H114" s="2">
        <f t="shared" si="6"/>
        <v>3</v>
      </c>
      <c r="I114" s="2">
        <f t="shared" si="7"/>
        <v>2</v>
      </c>
      <c r="J114" s="2" t="str">
        <f t="array" ref="J114">INDEX(lists!A:A,RANDBETWEEN(1,19))
</f>
        <v>Maine Community Bank</v>
      </c>
      <c r="K114" s="2" t="str">
        <f t="array" ref="K114">INDEX(lists!N:N,RANDBETWEEN(1,6))
</f>
        <v>Biddeford</v>
      </c>
      <c r="L114" s="2">
        <f t="shared" si="8"/>
        <v>2</v>
      </c>
      <c r="M114" s="2" t="str">
        <f t="array" ref="M114">INDEX(lists!O:O,RANDBETWEEN(1,2))
</f>
        <v>Pickup</v>
      </c>
      <c r="N114" s="2">
        <f t="shared" si="9"/>
        <v>2</v>
      </c>
    </row>
    <row r="115">
      <c r="A115" s="2">
        <f t="shared" si="1"/>
        <v>114</v>
      </c>
      <c r="B115" s="3">
        <f t="shared" si="2"/>
        <v>45682</v>
      </c>
      <c r="C115" s="3">
        <f t="shared" si="3"/>
        <v>45686</v>
      </c>
      <c r="D115" s="3" t="str">
        <f t="shared" si="4"/>
        <v>Completed</v>
      </c>
      <c r="E115" s="2">
        <f t="shared" si="5"/>
        <v>4</v>
      </c>
      <c r="F115" s="2" t="str">
        <f t="array" ref="F115">INDEX(lists!F:F,RANDBETWEEN(1,6))
</f>
        <v>Dining</v>
      </c>
      <c r="G115" s="2" t="str">
        <f t="array" ref="G115">IFS(
F115="Bedroom",INDEX(lists!G:G,RANDBETWEEN(1,4)),
F115="Living Room",INDEX(lists!H:H,RANDBETWEEN(1,4)),
F115="Dining",INDEX(lists!I:I,RANDBETWEEN(1,2)),
F115="Kitchen",INDEX(lists!J:J,RANDBETWEEN(1,4)),
F115="Office",INDEX(lists!K:K,RANDBETWEEN(1,3)),
F115="Household Essentials",INDEX(lists!L:L,RANDBETWEEN(1,3))
)
</f>
        <v>Dining Chair</v>
      </c>
      <c r="H115" s="2">
        <f t="shared" si="6"/>
        <v>4</v>
      </c>
      <c r="I115" s="2">
        <f t="shared" si="7"/>
        <v>2</v>
      </c>
      <c r="J115" s="2" t="str">
        <f t="array" ref="J115">INDEX(lists!A:A,RANDBETWEEN(1,19))
</f>
        <v>EthosVont</v>
      </c>
      <c r="K115" s="2" t="str">
        <f t="array" ref="K115">INDEX(lists!N:N,RANDBETWEEN(1,6))
</f>
        <v>Portland</v>
      </c>
      <c r="L115" s="2">
        <f t="shared" si="8"/>
        <v>5</v>
      </c>
      <c r="M115" s="2" t="str">
        <f t="array" ref="M115">INDEX(lists!O:O,RANDBETWEEN(1,2))
</f>
        <v>Delivery</v>
      </c>
      <c r="N115" s="2">
        <f t="shared" si="9"/>
        <v>3</v>
      </c>
    </row>
    <row r="116">
      <c r="A116" s="2">
        <f t="shared" si="1"/>
        <v>115</v>
      </c>
      <c r="B116" s="3">
        <f t="shared" si="2"/>
        <v>45441</v>
      </c>
      <c r="C116" s="3">
        <f t="shared" si="3"/>
        <v>45447</v>
      </c>
      <c r="D116" s="3" t="str">
        <f t="shared" si="4"/>
        <v>Completed</v>
      </c>
      <c r="E116" s="2">
        <f t="shared" si="5"/>
        <v>6</v>
      </c>
      <c r="F116" s="2" t="str">
        <f t="array" ref="F116">INDEX(lists!F:F,RANDBETWEEN(1,6))
</f>
        <v>Bedroom</v>
      </c>
      <c r="G116" s="2" t="str">
        <f t="array" ref="G116">IFS(
F116="Bedroom",INDEX(lists!G:G,RANDBETWEEN(1,4)),
F116="Living Room",INDEX(lists!H:H,RANDBETWEEN(1,4)),
F116="Dining",INDEX(lists!I:I,RANDBETWEEN(1,2)),
F116="Kitchen",INDEX(lists!J:J,RANDBETWEEN(1,4)),
F116="Office",INDEX(lists!K:K,RANDBETWEEN(1,3)),
F116="Household Essentials",INDEX(lists!L:L,RANDBETWEEN(1,3))
)
</f>
        <v>Dresser</v>
      </c>
      <c r="H116" s="2">
        <f t="shared" si="6"/>
        <v>4</v>
      </c>
      <c r="I116" s="2">
        <f t="shared" si="7"/>
        <v>2</v>
      </c>
      <c r="J116" s="2" t="str">
        <f t="array" ref="J116">INDEX(lists!A:A,RANDBETWEEN(1,19))
</f>
        <v>Shutterbugs 4 Charity</v>
      </c>
      <c r="K116" s="2" t="str">
        <f t="array" ref="K116">INDEX(lists!N:N,RANDBETWEEN(1,6))
</f>
        <v>Scarborough</v>
      </c>
      <c r="L116" s="2">
        <f t="shared" si="8"/>
        <v>6</v>
      </c>
      <c r="M116" s="2" t="str">
        <f t="array" ref="M116">INDEX(lists!O:O,RANDBETWEEN(1,2))
</f>
        <v>Pickup</v>
      </c>
      <c r="N116" s="2">
        <f t="shared" si="9"/>
        <v>1</v>
      </c>
    </row>
    <row r="117">
      <c r="A117" s="2">
        <f t="shared" si="1"/>
        <v>116</v>
      </c>
      <c r="B117" s="3">
        <f t="shared" si="2"/>
        <v>45574</v>
      </c>
      <c r="C117" s="3">
        <f t="shared" si="3"/>
        <v>45581</v>
      </c>
      <c r="D117" s="3" t="str">
        <f t="shared" si="4"/>
        <v>Completed</v>
      </c>
      <c r="E117" s="2">
        <f t="shared" si="5"/>
        <v>7</v>
      </c>
      <c r="F117" s="2" t="str">
        <f t="array" ref="F117">INDEX(lists!F:F,RANDBETWEEN(1,6))
</f>
        <v>Living Room</v>
      </c>
      <c r="G117" s="2" t="str">
        <f t="array" ref="G117">IFS(
F117="Bedroom",INDEX(lists!G:G,RANDBETWEEN(1,4)),
F117="Living Room",INDEX(lists!H:H,RANDBETWEEN(1,4)),
F117="Dining",INDEX(lists!I:I,RANDBETWEEN(1,2)),
F117="Kitchen",INDEX(lists!J:J,RANDBETWEEN(1,4)),
F117="Office",INDEX(lists!K:K,RANDBETWEEN(1,3)),
F117="Household Essentials",INDEX(lists!L:L,RANDBETWEEN(1,3))
)
</f>
        <v>Coffee Table</v>
      </c>
      <c r="H117" s="2">
        <f t="shared" si="6"/>
        <v>1</v>
      </c>
      <c r="I117" s="2">
        <f t="shared" si="7"/>
        <v>1</v>
      </c>
      <c r="J117" s="2" t="str">
        <f t="array" ref="J117">INDEX(lists!A:A,RANDBETWEEN(1,19))
</f>
        <v>Spiritual Workers</v>
      </c>
      <c r="K117" s="2" t="str">
        <f t="array" ref="K117">INDEX(lists!N:N,RANDBETWEEN(1,6))
</f>
        <v>Biddeford</v>
      </c>
      <c r="L117" s="2">
        <f t="shared" si="8"/>
        <v>1</v>
      </c>
      <c r="M117" s="2" t="str">
        <f t="array" ref="M117">INDEX(lists!O:O,RANDBETWEEN(1,2))
</f>
        <v>Delivery</v>
      </c>
      <c r="N117" s="2">
        <f t="shared" si="9"/>
        <v>6</v>
      </c>
    </row>
    <row r="118">
      <c r="A118" s="2">
        <f t="shared" si="1"/>
        <v>117</v>
      </c>
      <c r="B118" s="3">
        <f t="shared" si="2"/>
        <v>45392</v>
      </c>
      <c r="C118" s="3" t="str">
        <f t="shared" si="3"/>
        <v/>
      </c>
      <c r="D118" s="3" t="str">
        <f t="shared" si="4"/>
        <v>Pending</v>
      </c>
      <c r="E118" s="2" t="str">
        <f t="shared" si="5"/>
        <v/>
      </c>
      <c r="F118" s="2" t="str">
        <f t="array" ref="F118">INDEX(lists!F:F,RANDBETWEEN(1,6))
</f>
        <v>Kitchen</v>
      </c>
      <c r="G118" s="2" t="str">
        <f t="array" ref="G118">IFS(
F118="Bedroom",INDEX(lists!G:G,RANDBETWEEN(1,4)),
F118="Living Room",INDEX(lists!H:H,RANDBETWEEN(1,4)),
F118="Dining",INDEX(lists!I:I,RANDBETWEEN(1,2)),
F118="Kitchen",INDEX(lists!J:J,RANDBETWEEN(1,4)),
F118="Office",INDEX(lists!K:K,RANDBETWEEN(1,3)),
F118="Household Essentials",INDEX(lists!L:L,RANDBETWEEN(1,3))
)
</f>
        <v>Pots &amp; Pans</v>
      </c>
      <c r="H118" s="2">
        <f t="shared" si="6"/>
        <v>1</v>
      </c>
      <c r="I118" s="2" t="str">
        <f t="shared" si="7"/>
        <v/>
      </c>
      <c r="J118" s="2" t="str">
        <f t="array" ref="J118">INDEX(lists!A:A,RANDBETWEEN(1,19))
</f>
        <v>Portland Mattress Makers</v>
      </c>
      <c r="K118" s="2" t="str">
        <f t="array" ref="K118">INDEX(lists!N:N,RANDBETWEEN(1,6))
</f>
        <v>Falmouth</v>
      </c>
      <c r="L118" s="2">
        <f t="shared" si="8"/>
        <v>6</v>
      </c>
      <c r="M118" s="2" t="str">
        <f t="array" ref="M118">INDEX(lists!O:O,RANDBETWEEN(1,2))
</f>
        <v>Pickup</v>
      </c>
      <c r="N118" s="2">
        <f t="shared" si="9"/>
        <v>4</v>
      </c>
    </row>
    <row r="119">
      <c r="A119" s="2">
        <f t="shared" si="1"/>
        <v>118</v>
      </c>
      <c r="B119" s="3">
        <f t="shared" si="2"/>
        <v>45415</v>
      </c>
      <c r="C119" s="3">
        <f t="shared" si="3"/>
        <v>45417</v>
      </c>
      <c r="D119" s="3" t="str">
        <f t="shared" si="4"/>
        <v>Completed</v>
      </c>
      <c r="E119" s="2">
        <f t="shared" si="5"/>
        <v>2</v>
      </c>
      <c r="F119" s="2" t="str">
        <f t="array" ref="F119">INDEX(lists!F:F,RANDBETWEEN(1,6))
</f>
        <v>Dining</v>
      </c>
      <c r="G119" s="2" t="str">
        <f t="array" ref="G119">IFS(
F119="Bedroom",INDEX(lists!G:G,RANDBETWEEN(1,4)),
F119="Living Room",INDEX(lists!H:H,RANDBETWEEN(1,4)),
F119="Dining",INDEX(lists!I:I,RANDBETWEEN(1,2)),
F119="Kitchen",INDEX(lists!J:J,RANDBETWEEN(1,4)),
F119="Office",INDEX(lists!K:K,RANDBETWEEN(1,3)),
F119="Household Essentials",INDEX(lists!L:L,RANDBETWEEN(1,3))
)
</f>
        <v>Dining Table</v>
      </c>
      <c r="H119" s="2">
        <f t="shared" si="6"/>
        <v>4</v>
      </c>
      <c r="I119" s="2">
        <f t="shared" si="7"/>
        <v>3</v>
      </c>
      <c r="J119" s="2" t="str">
        <f t="array" ref="J119">INDEX(lists!A:A,RANDBETWEEN(1,19))
</f>
        <v>Coffee By Design</v>
      </c>
      <c r="K119" s="2" t="str">
        <f t="array" ref="K119">INDEX(lists!N:N,RANDBETWEEN(1,6))
</f>
        <v>Biddeford</v>
      </c>
      <c r="L119" s="2">
        <f t="shared" si="8"/>
        <v>3</v>
      </c>
      <c r="M119" s="2" t="str">
        <f t="array" ref="M119">INDEX(lists!O:O,RANDBETWEEN(1,2))
</f>
        <v>Pickup</v>
      </c>
      <c r="N119" s="2">
        <f t="shared" si="9"/>
        <v>2</v>
      </c>
    </row>
    <row r="120">
      <c r="A120" s="2">
        <f t="shared" si="1"/>
        <v>119</v>
      </c>
      <c r="B120" s="3">
        <f t="shared" si="2"/>
        <v>45409</v>
      </c>
      <c r="C120" s="3">
        <f t="shared" si="3"/>
        <v>45421</v>
      </c>
      <c r="D120" s="3" t="str">
        <f t="shared" si="4"/>
        <v>Completed</v>
      </c>
      <c r="E120" s="2">
        <f t="shared" si="5"/>
        <v>12</v>
      </c>
      <c r="F120" s="2" t="str">
        <f t="array" ref="F120">INDEX(lists!F:F,RANDBETWEEN(1,6))
</f>
        <v>Office</v>
      </c>
      <c r="G120" s="2" t="str">
        <f t="array" ref="G120">IFS(
F120="Bedroom",INDEX(lists!G:G,RANDBETWEEN(1,4)),
F120="Living Room",INDEX(lists!H:H,RANDBETWEEN(1,4)),
F120="Dining",INDEX(lists!I:I,RANDBETWEEN(1,2)),
F120="Kitchen",INDEX(lists!J:J,RANDBETWEEN(1,4)),
F120="Office",INDEX(lists!K:K,RANDBETWEEN(1,3)),
F120="Household Essentials",INDEX(lists!L:L,RANDBETWEEN(1,3))
)
</f>
        <v>Bookshelf</v>
      </c>
      <c r="H120" s="2">
        <f t="shared" si="6"/>
        <v>4</v>
      </c>
      <c r="I120" s="2">
        <f t="shared" si="7"/>
        <v>4</v>
      </c>
      <c r="J120" s="2" t="str">
        <f t="array" ref="J120">INDEX(lists!A:A,RANDBETWEEN(1,19))
</f>
        <v>Saco &amp; Biddeford Savings</v>
      </c>
      <c r="K120" s="2" t="str">
        <f t="array" ref="K120">INDEX(lists!N:N,RANDBETWEEN(1,6))
</f>
        <v>Portland</v>
      </c>
      <c r="L120" s="2">
        <f t="shared" si="8"/>
        <v>2</v>
      </c>
      <c r="M120" s="2" t="str">
        <f t="array" ref="M120">INDEX(lists!O:O,RANDBETWEEN(1,2))
</f>
        <v>Pickup</v>
      </c>
      <c r="N120" s="2">
        <f t="shared" si="9"/>
        <v>2</v>
      </c>
    </row>
    <row r="121">
      <c r="A121" s="2">
        <f t="shared" si="1"/>
        <v>120</v>
      </c>
      <c r="B121" s="3">
        <f t="shared" si="2"/>
        <v>45308</v>
      </c>
      <c r="C121" s="3" t="str">
        <f t="shared" si="3"/>
        <v/>
      </c>
      <c r="D121" s="3" t="str">
        <f t="shared" si="4"/>
        <v>Pending</v>
      </c>
      <c r="E121" s="2" t="str">
        <f t="shared" si="5"/>
        <v/>
      </c>
      <c r="F121" s="2" t="str">
        <f t="array" ref="F121">INDEX(lists!F:F,RANDBETWEEN(1,6))
</f>
        <v>Dining</v>
      </c>
      <c r="G121" s="2" t="str">
        <f t="array" ref="G121">IFS(
F121="Bedroom",INDEX(lists!G:G,RANDBETWEEN(1,4)),
F121="Living Room",INDEX(lists!H:H,RANDBETWEEN(1,4)),
F121="Dining",INDEX(lists!I:I,RANDBETWEEN(1,2)),
F121="Kitchen",INDEX(lists!J:J,RANDBETWEEN(1,4)),
F121="Office",INDEX(lists!K:K,RANDBETWEEN(1,3)),
F121="Household Essentials",INDEX(lists!L:L,RANDBETWEEN(1,3))
)
</f>
        <v>Dining Table</v>
      </c>
      <c r="H121" s="2">
        <f t="shared" si="6"/>
        <v>3</v>
      </c>
      <c r="I121" s="2" t="str">
        <f t="shared" si="7"/>
        <v/>
      </c>
      <c r="J121" s="2" t="str">
        <f t="array" ref="J121">INDEX(lists!A:A,RANDBETWEEN(1,19))
</f>
        <v>Westbrook Housing</v>
      </c>
      <c r="K121" s="2" t="str">
        <f t="array" ref="K121">INDEX(lists!N:N,RANDBETWEEN(1,6))
</f>
        <v>Westbrook</v>
      </c>
      <c r="L121" s="2">
        <f t="shared" si="8"/>
        <v>3</v>
      </c>
      <c r="M121" s="2" t="str">
        <f t="array" ref="M121">INDEX(lists!O:O,RANDBETWEEN(1,2))
</f>
        <v>Pickup</v>
      </c>
      <c r="N121" s="2">
        <f t="shared" si="9"/>
        <v>1</v>
      </c>
    </row>
    <row r="122">
      <c r="A122" s="2">
        <f t="shared" si="1"/>
        <v>121</v>
      </c>
      <c r="B122" s="3">
        <f t="shared" si="2"/>
        <v>45408</v>
      </c>
      <c r="C122" s="3">
        <f t="shared" si="3"/>
        <v>45412</v>
      </c>
      <c r="D122" s="3" t="str">
        <f t="shared" si="4"/>
        <v>Completed</v>
      </c>
      <c r="E122" s="2">
        <f t="shared" si="5"/>
        <v>4</v>
      </c>
      <c r="F122" s="2" t="str">
        <f t="array" ref="F122">INDEX(lists!F:F,RANDBETWEEN(1,6))
</f>
        <v>Kitchen</v>
      </c>
      <c r="G122" s="2" t="str">
        <f t="array" ref="G122">IFS(
F122="Bedroom",INDEX(lists!G:G,RANDBETWEEN(1,4)),
F122="Living Room",INDEX(lists!H:H,RANDBETWEEN(1,4)),
F122="Dining",INDEX(lists!I:I,RANDBETWEEN(1,2)),
F122="Kitchen",INDEX(lists!J:J,RANDBETWEEN(1,4)),
F122="Office",INDEX(lists!K:K,RANDBETWEEN(1,3)),
F122="Household Essentials",INDEX(lists!L:L,RANDBETWEEN(1,3))
)
</f>
        <v>Pots &amp; Pans</v>
      </c>
      <c r="H122" s="2">
        <f t="shared" si="6"/>
        <v>2</v>
      </c>
      <c r="I122" s="2">
        <f t="shared" si="7"/>
        <v>2</v>
      </c>
      <c r="J122" s="2" t="str">
        <f t="array" ref="J122">INDEX(lists!A:A,RANDBETWEEN(1,19))
</f>
        <v>Center for Real Estate Studies</v>
      </c>
      <c r="K122" s="2" t="str">
        <f t="array" ref="K122">INDEX(lists!N:N,RANDBETWEEN(1,6))
</f>
        <v>Biddeford</v>
      </c>
      <c r="L122" s="2">
        <f t="shared" si="8"/>
        <v>4</v>
      </c>
      <c r="M122" s="2" t="str">
        <f t="array" ref="M122">INDEX(lists!O:O,RANDBETWEEN(1,2))
</f>
        <v>Pickup</v>
      </c>
      <c r="N122" s="2">
        <f t="shared" si="9"/>
        <v>6</v>
      </c>
    </row>
    <row r="123">
      <c r="A123" s="2">
        <f t="shared" si="1"/>
        <v>122</v>
      </c>
      <c r="B123" s="3">
        <f t="shared" si="2"/>
        <v>45405</v>
      </c>
      <c r="C123" s="3">
        <f t="shared" si="3"/>
        <v>45408</v>
      </c>
      <c r="D123" s="3" t="str">
        <f t="shared" si="4"/>
        <v>Completed</v>
      </c>
      <c r="E123" s="2">
        <f t="shared" si="5"/>
        <v>3</v>
      </c>
      <c r="F123" s="2" t="str">
        <f t="array" ref="F123">INDEX(lists!F:F,RANDBETWEEN(1,6))
</f>
        <v>Household Essentials</v>
      </c>
      <c r="G123" s="2" t="str">
        <f t="array" ref="G123">IFS(
F123="Bedroom",INDEX(lists!G:G,RANDBETWEEN(1,4)),
F123="Living Room",INDEX(lists!H:H,RANDBETWEEN(1,4)),
F123="Dining",INDEX(lists!I:I,RANDBETWEEN(1,2)),
F123="Kitchen",INDEX(lists!J:J,RANDBETWEEN(1,4)),
F123="Office",INDEX(lists!K:K,RANDBETWEEN(1,3)),
F123="Household Essentials",INDEX(lists!L:L,RANDBETWEEN(1,3))
)
</f>
        <v>Lamps</v>
      </c>
      <c r="H123" s="2">
        <f t="shared" si="6"/>
        <v>4</v>
      </c>
      <c r="I123" s="2">
        <f t="shared" si="7"/>
        <v>3</v>
      </c>
      <c r="J123" s="2" t="str">
        <f t="array" ref="J123">INDEX(lists!A:A,RANDBETWEEN(1,19))
</f>
        <v>Rowe Ford Westbrook</v>
      </c>
      <c r="K123" s="2" t="str">
        <f t="array" ref="K123">INDEX(lists!N:N,RANDBETWEEN(1,6))
</f>
        <v>Biddeford</v>
      </c>
      <c r="L123" s="2">
        <f t="shared" si="8"/>
        <v>1</v>
      </c>
      <c r="M123" s="2" t="str">
        <f t="array" ref="M123">INDEX(lists!O:O,RANDBETWEEN(1,2))
</f>
        <v>Delivery</v>
      </c>
      <c r="N123" s="2">
        <f t="shared" si="9"/>
        <v>4</v>
      </c>
    </row>
    <row r="124">
      <c r="A124" s="2">
        <f t="shared" si="1"/>
        <v>123</v>
      </c>
      <c r="B124" s="3">
        <f t="shared" si="2"/>
        <v>45441</v>
      </c>
      <c r="C124" s="3">
        <f t="shared" si="3"/>
        <v>45454</v>
      </c>
      <c r="D124" s="3" t="str">
        <f t="shared" si="4"/>
        <v>Completed</v>
      </c>
      <c r="E124" s="2">
        <f t="shared" si="5"/>
        <v>13</v>
      </c>
      <c r="F124" s="2" t="str">
        <f t="array" ref="F124">INDEX(lists!F:F,RANDBETWEEN(1,6))
</f>
        <v>Household Essentials</v>
      </c>
      <c r="G124" s="2" t="str">
        <f t="array" ref="G124">IFS(
F124="Bedroom",INDEX(lists!G:G,RANDBETWEEN(1,4)),
F124="Living Room",INDEX(lists!H:H,RANDBETWEEN(1,4)),
F124="Dining",INDEX(lists!I:I,RANDBETWEEN(1,2)),
F124="Kitchen",INDEX(lists!J:J,RANDBETWEEN(1,4)),
F124="Office",INDEX(lists!K:K,RANDBETWEEN(1,3)),
F124="Household Essentials",INDEX(lists!L:L,RANDBETWEEN(1,3))
)
</f>
        <v>Bedding</v>
      </c>
      <c r="H124" s="2">
        <f t="shared" si="6"/>
        <v>1</v>
      </c>
      <c r="I124" s="2">
        <f t="shared" si="7"/>
        <v>1</v>
      </c>
      <c r="J124" s="2" t="str">
        <f t="array" ref="J124">INDEX(lists!A:A,RANDBETWEEN(1,19))
</f>
        <v>Spiritual Workers</v>
      </c>
      <c r="K124" s="2" t="str">
        <f t="array" ref="K124">INDEX(lists!N:N,RANDBETWEEN(1,6))
</f>
        <v>Westbrook</v>
      </c>
      <c r="L124" s="2">
        <f t="shared" si="8"/>
        <v>6</v>
      </c>
      <c r="M124" s="2" t="str">
        <f t="array" ref="M124">INDEX(lists!O:O,RANDBETWEEN(1,2))
</f>
        <v>Delivery</v>
      </c>
      <c r="N124" s="2">
        <f t="shared" si="9"/>
        <v>4</v>
      </c>
    </row>
    <row r="125">
      <c r="A125" s="2">
        <f t="shared" si="1"/>
        <v>124</v>
      </c>
      <c r="B125" s="3">
        <f t="shared" si="2"/>
        <v>45755</v>
      </c>
      <c r="C125" s="3" t="str">
        <f t="shared" si="3"/>
        <v/>
      </c>
      <c r="D125" s="3" t="str">
        <f t="shared" si="4"/>
        <v>Pending</v>
      </c>
      <c r="E125" s="2" t="str">
        <f t="shared" si="5"/>
        <v/>
      </c>
      <c r="F125" s="2" t="str">
        <f t="array" ref="F125">INDEX(lists!F:F,RANDBETWEEN(1,6))
</f>
        <v>Kitchen</v>
      </c>
      <c r="G125" s="2" t="str">
        <f t="array" ref="G125">IFS(
F125="Bedroom",INDEX(lists!G:G,RANDBETWEEN(1,4)),
F125="Living Room",INDEX(lists!H:H,RANDBETWEEN(1,4)),
F125="Dining",INDEX(lists!I:I,RANDBETWEEN(1,2)),
F125="Kitchen",INDEX(lists!J:J,RANDBETWEEN(1,4)),
F125="Office",INDEX(lists!K:K,RANDBETWEEN(1,3)),
F125="Household Essentials",INDEX(lists!L:L,RANDBETWEEN(1,3))
)
</f>
        <v>Microwave</v>
      </c>
      <c r="H125" s="2">
        <f t="shared" si="6"/>
        <v>4</v>
      </c>
      <c r="I125" s="2" t="str">
        <f t="shared" si="7"/>
        <v/>
      </c>
      <c r="J125" s="2" t="str">
        <f t="array" ref="J125">INDEX(lists!A:A,RANDBETWEEN(1,19))
</f>
        <v>NewHeight Group</v>
      </c>
      <c r="K125" s="2" t="str">
        <f t="array" ref="K125">INDEX(lists!N:N,RANDBETWEEN(1,6))
</f>
        <v>Biddeford</v>
      </c>
      <c r="L125" s="2">
        <f t="shared" si="8"/>
        <v>1</v>
      </c>
      <c r="M125" s="2" t="str">
        <f t="array" ref="M125">INDEX(lists!O:O,RANDBETWEEN(1,2))
</f>
        <v>Pickup</v>
      </c>
      <c r="N125" s="2">
        <f t="shared" si="9"/>
        <v>3</v>
      </c>
    </row>
    <row r="126">
      <c r="A126" s="2">
        <f t="shared" si="1"/>
        <v>125</v>
      </c>
      <c r="B126" s="3">
        <f t="shared" si="2"/>
        <v>45333</v>
      </c>
      <c r="C126" s="3">
        <f t="shared" si="3"/>
        <v>45336</v>
      </c>
      <c r="D126" s="3" t="str">
        <f t="shared" si="4"/>
        <v>Completed</v>
      </c>
      <c r="E126" s="2">
        <f t="shared" si="5"/>
        <v>3</v>
      </c>
      <c r="F126" s="2" t="str">
        <f t="array" ref="F126">INDEX(lists!F:F,RANDBETWEEN(1,6))
</f>
        <v>Household Essentials</v>
      </c>
      <c r="G126" s="2" t="str">
        <f t="array" ref="G126">IFS(
F126="Bedroom",INDEX(lists!G:G,RANDBETWEEN(1,4)),
F126="Living Room",INDEX(lists!H:H,RANDBETWEEN(1,4)),
F126="Dining",INDEX(lists!I:I,RANDBETWEEN(1,2)),
F126="Kitchen",INDEX(lists!J:J,RANDBETWEEN(1,4)),
F126="Office",INDEX(lists!K:K,RANDBETWEEN(1,3)),
F126="Household Essentials",INDEX(lists!L:L,RANDBETWEEN(1,3))
)
</f>
        <v>Lamps</v>
      </c>
      <c r="H126" s="2">
        <f t="shared" si="6"/>
        <v>1</v>
      </c>
      <c r="I126" s="2">
        <f t="shared" si="7"/>
        <v>1</v>
      </c>
      <c r="J126" s="2" t="str">
        <f t="array" ref="J126">INDEX(lists!A:A,RANDBETWEEN(1,19))
</f>
        <v>Rowe Ford Westbrook</v>
      </c>
      <c r="K126" s="2" t="str">
        <f t="array" ref="K126">INDEX(lists!N:N,RANDBETWEEN(1,6))
</f>
        <v>Westbrook</v>
      </c>
      <c r="L126" s="2">
        <f t="shared" si="8"/>
        <v>4</v>
      </c>
      <c r="M126" s="2" t="str">
        <f t="array" ref="M126">INDEX(lists!O:O,RANDBETWEEN(1,2))
</f>
        <v>Pickup</v>
      </c>
      <c r="N126" s="2">
        <f t="shared" si="9"/>
        <v>6</v>
      </c>
    </row>
    <row r="127">
      <c r="A127" s="2">
        <f t="shared" si="1"/>
        <v>126</v>
      </c>
      <c r="B127" s="3">
        <f t="shared" si="2"/>
        <v>45622</v>
      </c>
      <c r="C127" s="3" t="str">
        <f t="shared" si="3"/>
        <v/>
      </c>
      <c r="D127" s="3" t="str">
        <f t="shared" si="4"/>
        <v>Pending</v>
      </c>
      <c r="E127" s="2" t="str">
        <f t="shared" si="5"/>
        <v/>
      </c>
      <c r="F127" s="2" t="str">
        <f t="array" ref="F127">INDEX(lists!F:F,RANDBETWEEN(1,6))
</f>
        <v>Bedroom</v>
      </c>
      <c r="G127" s="2" t="str">
        <f t="array" ref="G127">IFS(
F127="Bedroom",INDEX(lists!G:G,RANDBETWEEN(1,4)),
F127="Living Room",INDEX(lists!H:H,RANDBETWEEN(1,4)),
F127="Dining",INDEX(lists!I:I,RANDBETWEEN(1,2)),
F127="Kitchen",INDEX(lists!J:J,RANDBETWEEN(1,4)),
F127="Office",INDEX(lists!K:K,RANDBETWEEN(1,3)),
F127="Household Essentials",INDEX(lists!L:L,RANDBETWEEN(1,3))
)
</f>
        <v>Nightstand</v>
      </c>
      <c r="H127" s="2">
        <f t="shared" si="6"/>
        <v>2</v>
      </c>
      <c r="I127" s="2" t="str">
        <f t="shared" si="7"/>
        <v/>
      </c>
      <c r="J127" s="2" t="str">
        <f t="array" ref="J127">INDEX(lists!A:A,RANDBETWEEN(1,19))
</f>
        <v>Portland Harbor Group Raymond James</v>
      </c>
      <c r="K127" s="2" t="str">
        <f t="array" ref="K127">INDEX(lists!N:N,RANDBETWEEN(1,6))
</f>
        <v>Westbrook</v>
      </c>
      <c r="L127" s="2">
        <f t="shared" si="8"/>
        <v>1</v>
      </c>
      <c r="M127" s="2" t="str">
        <f t="array" ref="M127">INDEX(lists!O:O,RANDBETWEEN(1,2))
</f>
        <v>Pickup</v>
      </c>
      <c r="N127" s="2">
        <f t="shared" si="9"/>
        <v>3</v>
      </c>
    </row>
    <row r="128">
      <c r="A128" s="2">
        <f t="shared" si="1"/>
        <v>127</v>
      </c>
      <c r="B128" s="3">
        <f t="shared" si="2"/>
        <v>45490</v>
      </c>
      <c r="C128" s="3">
        <f t="shared" si="3"/>
        <v>45493</v>
      </c>
      <c r="D128" s="3" t="str">
        <f t="shared" si="4"/>
        <v>Completed</v>
      </c>
      <c r="E128" s="2">
        <f t="shared" si="5"/>
        <v>3</v>
      </c>
      <c r="F128" s="2" t="str">
        <f t="array" ref="F128">INDEX(lists!F:F,RANDBETWEEN(1,6))
</f>
        <v>Kitchen</v>
      </c>
      <c r="G128" s="2" t="str">
        <f t="array" ref="G128">IFS(
F128="Bedroom",INDEX(lists!G:G,RANDBETWEEN(1,4)),
F128="Living Room",INDEX(lists!H:H,RANDBETWEEN(1,4)),
F128="Dining",INDEX(lists!I:I,RANDBETWEEN(1,2)),
F128="Kitchen",INDEX(lists!J:J,RANDBETWEEN(1,4)),
F128="Office",INDEX(lists!K:K,RANDBETWEEN(1,3)),
F128="Household Essentials",INDEX(lists!L:L,RANDBETWEEN(1,3))
)
</f>
        <v>Dishes</v>
      </c>
      <c r="H128" s="2">
        <f t="shared" si="6"/>
        <v>2</v>
      </c>
      <c r="I128" s="2">
        <f t="shared" si="7"/>
        <v>1</v>
      </c>
      <c r="J128" s="2" t="str">
        <f t="array" ref="J128">INDEX(lists!A:A,RANDBETWEEN(1,19))
</f>
        <v>Spiritual Workers</v>
      </c>
      <c r="K128" s="2" t="str">
        <f t="array" ref="K128">INDEX(lists!N:N,RANDBETWEEN(1,6))
</f>
        <v>Biddeford</v>
      </c>
      <c r="L128" s="2">
        <f t="shared" si="8"/>
        <v>6</v>
      </c>
      <c r="M128" s="2" t="str">
        <f t="array" ref="M128">INDEX(lists!O:O,RANDBETWEEN(1,2))
</f>
        <v>Pickup</v>
      </c>
      <c r="N128" s="2">
        <f t="shared" si="9"/>
        <v>1</v>
      </c>
    </row>
    <row r="129">
      <c r="A129" s="2">
        <f t="shared" si="1"/>
        <v>128</v>
      </c>
      <c r="B129" s="3">
        <f t="shared" si="2"/>
        <v>45438</v>
      </c>
      <c r="C129" s="3">
        <f t="shared" si="3"/>
        <v>45445</v>
      </c>
      <c r="D129" s="3" t="str">
        <f t="shared" si="4"/>
        <v>Completed</v>
      </c>
      <c r="E129" s="2">
        <f t="shared" si="5"/>
        <v>7</v>
      </c>
      <c r="F129" s="2" t="str">
        <f t="array" ref="F129">INDEX(lists!F:F,RANDBETWEEN(1,6))
</f>
        <v>Kitchen</v>
      </c>
      <c r="G129" s="2" t="str">
        <f t="array" ref="G129">IFS(
F129="Bedroom",INDEX(lists!G:G,RANDBETWEEN(1,4)),
F129="Living Room",INDEX(lists!H:H,RANDBETWEEN(1,4)),
F129="Dining",INDEX(lists!I:I,RANDBETWEEN(1,2)),
F129="Kitchen",INDEX(lists!J:J,RANDBETWEEN(1,4)),
F129="Office",INDEX(lists!K:K,RANDBETWEEN(1,3)),
F129="Household Essentials",INDEX(lists!L:L,RANDBETWEEN(1,3))
)
</f>
        <v>Pots &amp; Pans</v>
      </c>
      <c r="H129" s="2">
        <f t="shared" si="6"/>
        <v>2</v>
      </c>
      <c r="I129" s="2">
        <f t="shared" si="7"/>
        <v>1</v>
      </c>
      <c r="J129" s="2" t="str">
        <f t="array" ref="J129">INDEX(lists!A:A,RANDBETWEEN(1,19))
</f>
        <v>EthosVont</v>
      </c>
      <c r="K129" s="2" t="str">
        <f t="array" ref="K129">INDEX(lists!N:N,RANDBETWEEN(1,6))
</f>
        <v>Biddeford</v>
      </c>
      <c r="L129" s="2">
        <f t="shared" si="8"/>
        <v>5</v>
      </c>
      <c r="M129" s="2" t="str">
        <f t="array" ref="M129">INDEX(lists!O:O,RANDBETWEEN(1,2))
</f>
        <v>Delivery</v>
      </c>
      <c r="N129" s="2">
        <f t="shared" si="9"/>
        <v>5</v>
      </c>
    </row>
    <row r="130">
      <c r="A130" s="2">
        <f t="shared" si="1"/>
        <v>129</v>
      </c>
      <c r="B130" s="3">
        <f t="shared" si="2"/>
        <v>45714</v>
      </c>
      <c r="C130" s="3">
        <f t="shared" si="3"/>
        <v>45721</v>
      </c>
      <c r="D130" s="3" t="str">
        <f t="shared" si="4"/>
        <v>Completed</v>
      </c>
      <c r="E130" s="2">
        <f t="shared" si="5"/>
        <v>7</v>
      </c>
      <c r="F130" s="2" t="str">
        <f t="array" ref="F130">INDEX(lists!F:F,RANDBETWEEN(1,6))
</f>
        <v>Office</v>
      </c>
      <c r="G130" s="2" t="str">
        <f t="array" ref="G130">IFS(
F130="Bedroom",INDEX(lists!G:G,RANDBETWEEN(1,4)),
F130="Living Room",INDEX(lists!H:H,RANDBETWEEN(1,4)),
F130="Dining",INDEX(lists!I:I,RANDBETWEEN(1,2)),
F130="Kitchen",INDEX(lists!J:J,RANDBETWEEN(1,4)),
F130="Office",INDEX(lists!K:K,RANDBETWEEN(1,3)),
F130="Household Essentials",INDEX(lists!L:L,RANDBETWEEN(1,3))
)
</f>
        <v>Office Chair</v>
      </c>
      <c r="H130" s="2">
        <f t="shared" si="6"/>
        <v>1</v>
      </c>
      <c r="I130" s="2">
        <f t="shared" si="7"/>
        <v>1</v>
      </c>
      <c r="J130" s="2" t="str">
        <f t="array" ref="J130">INDEX(lists!A:A,RANDBETWEEN(1,19))
</f>
        <v>Maine Community Bank</v>
      </c>
      <c r="K130" s="2" t="str">
        <f t="array" ref="K130">INDEX(lists!N:N,RANDBETWEEN(1,6))
</f>
        <v>Biddeford</v>
      </c>
      <c r="L130" s="2">
        <f t="shared" si="8"/>
        <v>4</v>
      </c>
      <c r="M130" s="2" t="str">
        <f t="array" ref="M130">INDEX(lists!O:O,RANDBETWEEN(1,2))
</f>
        <v>Pickup</v>
      </c>
      <c r="N130" s="2">
        <f t="shared" si="9"/>
        <v>3</v>
      </c>
    </row>
    <row r="131">
      <c r="A131" s="2">
        <f t="shared" si="1"/>
        <v>130</v>
      </c>
      <c r="B131" s="3">
        <f t="shared" si="2"/>
        <v>45504</v>
      </c>
      <c r="C131" s="3" t="str">
        <f t="shared" si="3"/>
        <v/>
      </c>
      <c r="D131" s="3" t="str">
        <f t="shared" si="4"/>
        <v>Pending</v>
      </c>
      <c r="E131" s="2" t="str">
        <f t="shared" si="5"/>
        <v/>
      </c>
      <c r="F131" s="2" t="str">
        <f t="array" ref="F131">INDEX(lists!F:F,RANDBETWEEN(1,6))
</f>
        <v>Household Essentials</v>
      </c>
      <c r="G131" s="2" t="str">
        <f t="array" ref="G131">IFS(
F131="Bedroom",INDEX(lists!G:G,RANDBETWEEN(1,4)),
F131="Living Room",INDEX(lists!H:H,RANDBETWEEN(1,4)),
F131="Dining",INDEX(lists!I:I,RANDBETWEEN(1,2)),
F131="Kitchen",INDEX(lists!J:J,RANDBETWEEN(1,4)),
F131="Office",INDEX(lists!K:K,RANDBETWEEN(1,3)),
F131="Household Essentials",INDEX(lists!L:L,RANDBETWEEN(1,3))
)
</f>
        <v>Rugs</v>
      </c>
      <c r="H131" s="2">
        <f t="shared" si="6"/>
        <v>1</v>
      </c>
      <c r="I131" s="2" t="str">
        <f t="shared" si="7"/>
        <v/>
      </c>
      <c r="J131" s="2" t="str">
        <f t="array" ref="J131">INDEX(lists!A:A,RANDBETWEEN(1,19))
</f>
        <v>Jordan's Furniture</v>
      </c>
      <c r="K131" s="2" t="str">
        <f t="array" ref="K131">INDEX(lists!N:N,RANDBETWEEN(1,6))
</f>
        <v>Biddeford</v>
      </c>
      <c r="L131" s="2">
        <f t="shared" si="8"/>
        <v>6</v>
      </c>
      <c r="M131" s="2" t="str">
        <f t="array" ref="M131">INDEX(lists!O:O,RANDBETWEEN(1,2))
</f>
        <v>Delivery</v>
      </c>
      <c r="N131" s="2">
        <f t="shared" si="9"/>
        <v>6</v>
      </c>
    </row>
    <row r="132">
      <c r="A132" s="2">
        <f t="shared" si="1"/>
        <v>131</v>
      </c>
      <c r="B132" s="3">
        <f t="shared" si="2"/>
        <v>45477</v>
      </c>
      <c r="C132" s="3">
        <f t="shared" si="3"/>
        <v>45484</v>
      </c>
      <c r="D132" s="3" t="str">
        <f t="shared" si="4"/>
        <v>Completed</v>
      </c>
      <c r="E132" s="2">
        <f t="shared" si="5"/>
        <v>7</v>
      </c>
      <c r="F132" s="2" t="str">
        <f t="array" ref="F132">INDEX(lists!F:F,RANDBETWEEN(1,6))
</f>
        <v>Bedroom</v>
      </c>
      <c r="G132" s="2" t="str">
        <f t="array" ref="G132">IFS(
F132="Bedroom",INDEX(lists!G:G,RANDBETWEEN(1,4)),
F132="Living Room",INDEX(lists!H:H,RANDBETWEEN(1,4)),
F132="Dining",INDEX(lists!I:I,RANDBETWEEN(1,2)),
F132="Kitchen",INDEX(lists!J:J,RANDBETWEEN(1,4)),
F132="Office",INDEX(lists!K:K,RANDBETWEEN(1,3)),
F132="Household Essentials",INDEX(lists!L:L,RANDBETWEEN(1,3))
)
</f>
        <v>Nightstand</v>
      </c>
      <c r="H132" s="2">
        <f t="shared" si="6"/>
        <v>1</v>
      </c>
      <c r="I132" s="2">
        <f t="shared" si="7"/>
        <v>1</v>
      </c>
      <c r="J132" s="2" t="str">
        <f t="array" ref="J132">INDEX(lists!A:A,RANDBETWEEN(1,19))
</f>
        <v>Jordan's Furniture</v>
      </c>
      <c r="K132" s="2" t="str">
        <f t="array" ref="K132">INDEX(lists!N:N,RANDBETWEEN(1,6))
</f>
        <v>Portland</v>
      </c>
      <c r="L132" s="2">
        <f t="shared" si="8"/>
        <v>3</v>
      </c>
      <c r="M132" s="2" t="str">
        <f t="array" ref="M132">INDEX(lists!O:O,RANDBETWEEN(1,2))
</f>
        <v>Pickup</v>
      </c>
      <c r="N132" s="2">
        <f t="shared" si="9"/>
        <v>6</v>
      </c>
    </row>
    <row r="133">
      <c r="A133" s="2">
        <f t="shared" si="1"/>
        <v>132</v>
      </c>
      <c r="B133" s="3">
        <f t="shared" si="2"/>
        <v>45385</v>
      </c>
      <c r="C133" s="3" t="str">
        <f t="shared" si="3"/>
        <v/>
      </c>
      <c r="D133" s="3" t="str">
        <f t="shared" si="4"/>
        <v>Pending</v>
      </c>
      <c r="E133" s="2" t="str">
        <f t="shared" si="5"/>
        <v/>
      </c>
      <c r="F133" s="2" t="str">
        <f t="array" ref="F133">INDEX(lists!F:F,RANDBETWEEN(1,6))
</f>
        <v>Kitchen</v>
      </c>
      <c r="G133" s="2" t="str">
        <f t="array" ref="G133">IFS(
F133="Bedroom",INDEX(lists!G:G,RANDBETWEEN(1,4)),
F133="Living Room",INDEX(lists!H:H,RANDBETWEEN(1,4)),
F133="Dining",INDEX(lists!I:I,RANDBETWEEN(1,2)),
F133="Kitchen",INDEX(lists!J:J,RANDBETWEEN(1,4)),
F133="Office",INDEX(lists!K:K,RANDBETWEEN(1,3)),
F133="Household Essentials",INDEX(lists!L:L,RANDBETWEEN(1,3))
)
</f>
        <v>Small Appliances</v>
      </c>
      <c r="H133" s="2">
        <f t="shared" si="6"/>
        <v>4</v>
      </c>
      <c r="I133" s="2" t="str">
        <f t="shared" si="7"/>
        <v/>
      </c>
      <c r="J133" s="2" t="str">
        <f t="array" ref="J133">INDEX(lists!A:A,RANDBETWEEN(1,19))
</f>
        <v>EthosVont</v>
      </c>
      <c r="K133" s="2" t="str">
        <f t="array" ref="K133">INDEX(lists!N:N,RANDBETWEEN(1,6))
</f>
        <v>Scarborough</v>
      </c>
      <c r="L133" s="2">
        <f t="shared" si="8"/>
        <v>4</v>
      </c>
      <c r="M133" s="2" t="str">
        <f t="array" ref="M133">INDEX(lists!O:O,RANDBETWEEN(1,2))
</f>
        <v>Delivery</v>
      </c>
      <c r="N133" s="2">
        <f t="shared" si="9"/>
        <v>6</v>
      </c>
    </row>
    <row r="134">
      <c r="A134" s="2">
        <f t="shared" si="1"/>
        <v>133</v>
      </c>
      <c r="B134" s="3">
        <f t="shared" si="2"/>
        <v>45304</v>
      </c>
      <c r="C134" s="3" t="str">
        <f t="shared" si="3"/>
        <v/>
      </c>
      <c r="D134" s="3" t="str">
        <f t="shared" si="4"/>
        <v>Cancelled</v>
      </c>
      <c r="E134" s="2" t="str">
        <f t="shared" si="5"/>
        <v/>
      </c>
      <c r="F134" s="2" t="str">
        <f t="array" ref="F134">INDEX(lists!F:F,RANDBETWEEN(1,6))
</f>
        <v>Office</v>
      </c>
      <c r="G134" s="2" t="str">
        <f t="array" ref="G134">IFS(
F134="Bedroom",INDEX(lists!G:G,RANDBETWEEN(1,4)),
F134="Living Room",INDEX(lists!H:H,RANDBETWEEN(1,4)),
F134="Dining",INDEX(lists!I:I,RANDBETWEEN(1,2)),
F134="Kitchen",INDEX(lists!J:J,RANDBETWEEN(1,4)),
F134="Office",INDEX(lists!K:K,RANDBETWEEN(1,3)),
F134="Household Essentials",INDEX(lists!L:L,RANDBETWEEN(1,3))
)
</f>
        <v>Office Chair</v>
      </c>
      <c r="H134" s="2">
        <f t="shared" si="6"/>
        <v>1</v>
      </c>
      <c r="I134" s="2" t="str">
        <f t="shared" si="7"/>
        <v/>
      </c>
      <c r="J134" s="2" t="str">
        <f t="array" ref="J134">INDEX(lists!A:A,RANDBETWEEN(1,19))
</f>
        <v>EthosVont</v>
      </c>
      <c r="K134" s="2" t="str">
        <f t="array" ref="K134">INDEX(lists!N:N,RANDBETWEEN(1,6))
</f>
        <v>Scarborough</v>
      </c>
      <c r="L134" s="2">
        <f t="shared" si="8"/>
        <v>4</v>
      </c>
      <c r="M134" s="2" t="str">
        <f t="array" ref="M134">INDEX(lists!O:O,RANDBETWEEN(1,2))
</f>
        <v>Pickup</v>
      </c>
      <c r="N134" s="2">
        <f t="shared" si="9"/>
        <v>6</v>
      </c>
    </row>
    <row r="135">
      <c r="A135" s="2">
        <f t="shared" si="1"/>
        <v>134</v>
      </c>
      <c r="B135" s="3">
        <f t="shared" si="2"/>
        <v>45658</v>
      </c>
      <c r="C135" s="3">
        <f t="shared" si="3"/>
        <v>45668</v>
      </c>
      <c r="D135" s="3" t="str">
        <f t="shared" si="4"/>
        <v>Completed</v>
      </c>
      <c r="E135" s="2">
        <f t="shared" si="5"/>
        <v>10</v>
      </c>
      <c r="F135" s="2" t="str">
        <f t="array" ref="F135">INDEX(lists!F:F,RANDBETWEEN(1,6))
</f>
        <v>Household Essentials</v>
      </c>
      <c r="G135" s="2" t="str">
        <f t="array" ref="G135">IFS(
F135="Bedroom",INDEX(lists!G:G,RANDBETWEEN(1,4)),
F135="Living Room",INDEX(lists!H:H,RANDBETWEEN(1,4)),
F135="Dining",INDEX(lists!I:I,RANDBETWEEN(1,2)),
F135="Kitchen",INDEX(lists!J:J,RANDBETWEEN(1,4)),
F135="Office",INDEX(lists!K:K,RANDBETWEEN(1,3)),
F135="Household Essentials",INDEX(lists!L:L,RANDBETWEEN(1,3))
)
</f>
        <v>Rugs</v>
      </c>
      <c r="H135" s="2">
        <f t="shared" si="6"/>
        <v>3</v>
      </c>
      <c r="I135" s="2">
        <f t="shared" si="7"/>
        <v>3</v>
      </c>
      <c r="J135" s="2" t="str">
        <f t="array" ref="J135">INDEX(lists!A:A,RANDBETWEEN(1,19))
</f>
        <v>Saco &amp; Biddeford Savings</v>
      </c>
      <c r="K135" s="2" t="str">
        <f t="array" ref="K135">INDEX(lists!N:N,RANDBETWEEN(1,6))
</f>
        <v>Biddeford</v>
      </c>
      <c r="L135" s="2">
        <f t="shared" si="8"/>
        <v>2</v>
      </c>
      <c r="M135" s="2" t="str">
        <f t="array" ref="M135">INDEX(lists!O:O,RANDBETWEEN(1,2))
</f>
        <v>Delivery</v>
      </c>
      <c r="N135" s="2">
        <f t="shared" si="9"/>
        <v>3</v>
      </c>
    </row>
    <row r="136">
      <c r="A136" s="2">
        <f t="shared" si="1"/>
        <v>135</v>
      </c>
      <c r="B136" s="3">
        <f t="shared" si="2"/>
        <v>45408</v>
      </c>
      <c r="C136" s="3">
        <f t="shared" si="3"/>
        <v>45414</v>
      </c>
      <c r="D136" s="3" t="str">
        <f t="shared" si="4"/>
        <v>Completed</v>
      </c>
      <c r="E136" s="2">
        <f t="shared" si="5"/>
        <v>6</v>
      </c>
      <c r="F136" s="2" t="str">
        <f t="array" ref="F136">INDEX(lists!F:F,RANDBETWEEN(1,6))
</f>
        <v>Office</v>
      </c>
      <c r="G136" s="2" t="str">
        <f t="array" ref="G136">IFS(
F136="Bedroom",INDEX(lists!G:G,RANDBETWEEN(1,4)),
F136="Living Room",INDEX(lists!H:H,RANDBETWEEN(1,4)),
F136="Dining",INDEX(lists!I:I,RANDBETWEEN(1,2)),
F136="Kitchen",INDEX(lists!J:J,RANDBETWEEN(1,4)),
F136="Office",INDEX(lists!K:K,RANDBETWEEN(1,3)),
F136="Household Essentials",INDEX(lists!L:L,RANDBETWEEN(1,3))
)
</f>
        <v>Bookshelf</v>
      </c>
      <c r="H136" s="2">
        <f t="shared" si="6"/>
        <v>4</v>
      </c>
      <c r="I136" s="2">
        <f t="shared" si="7"/>
        <v>1</v>
      </c>
      <c r="J136" s="2" t="str">
        <f t="array" ref="J136">INDEX(lists!A:A,RANDBETWEEN(1,19))
</f>
        <v>Shutterbugs 4 Charity</v>
      </c>
      <c r="K136" s="2" t="str">
        <f t="array" ref="K136">INDEX(lists!N:N,RANDBETWEEN(1,6))
</f>
        <v>Scarborough</v>
      </c>
      <c r="L136" s="2">
        <f t="shared" si="8"/>
        <v>1</v>
      </c>
      <c r="M136" s="2" t="str">
        <f t="array" ref="M136">INDEX(lists!O:O,RANDBETWEEN(1,2))
</f>
        <v>Delivery</v>
      </c>
      <c r="N136" s="2">
        <f t="shared" si="9"/>
        <v>5</v>
      </c>
    </row>
    <row r="137">
      <c r="A137" s="2">
        <f t="shared" si="1"/>
        <v>136</v>
      </c>
      <c r="B137" s="3">
        <f t="shared" si="2"/>
        <v>45320</v>
      </c>
      <c r="C137" s="3">
        <f t="shared" si="3"/>
        <v>45330</v>
      </c>
      <c r="D137" s="3" t="str">
        <f t="shared" si="4"/>
        <v>Completed</v>
      </c>
      <c r="E137" s="2">
        <f t="shared" si="5"/>
        <v>10</v>
      </c>
      <c r="F137" s="2" t="str">
        <f t="array" ref="F137">INDEX(lists!F:F,RANDBETWEEN(1,6))
</f>
        <v>Living Room</v>
      </c>
      <c r="G137" s="2" t="str">
        <f t="array" ref="G137">IFS(
F137="Bedroom",INDEX(lists!G:G,RANDBETWEEN(1,4)),
F137="Living Room",INDEX(lists!H:H,RANDBETWEEN(1,4)),
F137="Dining",INDEX(lists!I:I,RANDBETWEEN(1,2)),
F137="Kitchen",INDEX(lists!J:J,RANDBETWEEN(1,4)),
F137="Office",INDEX(lists!K:K,RANDBETWEEN(1,3)),
F137="Household Essentials",INDEX(lists!L:L,RANDBETWEEN(1,3))
)
</f>
        <v>Coffee Table</v>
      </c>
      <c r="H137" s="2">
        <f t="shared" si="6"/>
        <v>2</v>
      </c>
      <c r="I137" s="2">
        <f t="shared" si="7"/>
        <v>1</v>
      </c>
      <c r="J137" s="2" t="str">
        <f t="array" ref="J137">INDEX(lists!A:A,RANDBETWEEN(1,19))
</f>
        <v>Jordan's Furniture</v>
      </c>
      <c r="K137" s="2" t="str">
        <f t="array" ref="K137">INDEX(lists!N:N,RANDBETWEEN(1,6))
</f>
        <v>Scarborough</v>
      </c>
      <c r="L137" s="2">
        <f t="shared" si="8"/>
        <v>6</v>
      </c>
      <c r="M137" s="2" t="str">
        <f t="array" ref="M137">INDEX(lists!O:O,RANDBETWEEN(1,2))
</f>
        <v>Pickup</v>
      </c>
      <c r="N137" s="2">
        <f t="shared" si="9"/>
        <v>1</v>
      </c>
    </row>
    <row r="138">
      <c r="A138" s="2">
        <f t="shared" si="1"/>
        <v>137</v>
      </c>
      <c r="B138" s="3">
        <f t="shared" si="2"/>
        <v>45553</v>
      </c>
      <c r="C138" s="3">
        <f t="shared" si="3"/>
        <v>45558</v>
      </c>
      <c r="D138" s="3" t="str">
        <f t="shared" si="4"/>
        <v>Completed</v>
      </c>
      <c r="E138" s="2">
        <f t="shared" si="5"/>
        <v>5</v>
      </c>
      <c r="F138" s="2" t="str">
        <f t="array" ref="F138">INDEX(lists!F:F,RANDBETWEEN(1,6))
</f>
        <v>Dining</v>
      </c>
      <c r="G138" s="2" t="str">
        <f t="array" ref="G138">IFS(
F138="Bedroom",INDEX(lists!G:G,RANDBETWEEN(1,4)),
F138="Living Room",INDEX(lists!H:H,RANDBETWEEN(1,4)),
F138="Dining",INDEX(lists!I:I,RANDBETWEEN(1,2)),
F138="Kitchen",INDEX(lists!J:J,RANDBETWEEN(1,4)),
F138="Office",INDEX(lists!K:K,RANDBETWEEN(1,3)),
F138="Household Essentials",INDEX(lists!L:L,RANDBETWEEN(1,3))
)
</f>
        <v>Dining Chair</v>
      </c>
      <c r="H138" s="2">
        <f t="shared" si="6"/>
        <v>1</v>
      </c>
      <c r="I138" s="2">
        <f t="shared" si="7"/>
        <v>1</v>
      </c>
      <c r="J138" s="2" t="str">
        <f t="array" ref="J138">INDEX(lists!A:A,RANDBETWEEN(1,19))
</f>
        <v>GoGo Refill</v>
      </c>
      <c r="K138" s="2" t="str">
        <f t="array" ref="K138">INDEX(lists!N:N,RANDBETWEEN(1,6))
</f>
        <v>Portland</v>
      </c>
      <c r="L138" s="2">
        <f t="shared" si="8"/>
        <v>5</v>
      </c>
      <c r="M138" s="2" t="str">
        <f t="array" ref="M138">INDEX(lists!O:O,RANDBETWEEN(1,2))
</f>
        <v>Delivery</v>
      </c>
      <c r="N138" s="2">
        <f t="shared" si="9"/>
        <v>3</v>
      </c>
    </row>
    <row r="139">
      <c r="A139" s="2">
        <f t="shared" si="1"/>
        <v>138</v>
      </c>
      <c r="B139" s="3">
        <f t="shared" si="2"/>
        <v>45337</v>
      </c>
      <c r="C139" s="3">
        <f t="shared" si="3"/>
        <v>45367</v>
      </c>
      <c r="D139" s="3" t="str">
        <f t="shared" si="4"/>
        <v>Completed</v>
      </c>
      <c r="E139" s="2">
        <f t="shared" si="5"/>
        <v>30</v>
      </c>
      <c r="F139" s="2" t="str">
        <f t="array" ref="F139">INDEX(lists!F:F,RANDBETWEEN(1,6))
</f>
        <v>Dining</v>
      </c>
      <c r="G139" s="2" t="str">
        <f t="array" ref="G139">IFS(
F139="Bedroom",INDEX(lists!G:G,RANDBETWEEN(1,4)),
F139="Living Room",INDEX(lists!H:H,RANDBETWEEN(1,4)),
F139="Dining",INDEX(lists!I:I,RANDBETWEEN(1,2)),
F139="Kitchen",INDEX(lists!J:J,RANDBETWEEN(1,4)),
F139="Office",INDEX(lists!K:K,RANDBETWEEN(1,3)),
F139="Household Essentials",INDEX(lists!L:L,RANDBETWEEN(1,3))
)
</f>
        <v>Dining Chair</v>
      </c>
      <c r="H139" s="2">
        <f t="shared" si="6"/>
        <v>1</v>
      </c>
      <c r="I139" s="2">
        <f t="shared" si="7"/>
        <v>1</v>
      </c>
      <c r="J139" s="2" t="str">
        <f t="array" ref="J139">INDEX(lists!A:A,RANDBETWEEN(1,19))
</f>
        <v>Keybank</v>
      </c>
      <c r="K139" s="2" t="str">
        <f t="array" ref="K139">INDEX(lists!N:N,RANDBETWEEN(1,6))
</f>
        <v>Falmouth</v>
      </c>
      <c r="L139" s="2">
        <f t="shared" si="8"/>
        <v>4</v>
      </c>
      <c r="M139" s="2" t="str">
        <f t="array" ref="M139">INDEX(lists!O:O,RANDBETWEEN(1,2))
</f>
        <v>Delivery</v>
      </c>
      <c r="N139" s="2">
        <f t="shared" si="9"/>
        <v>3</v>
      </c>
    </row>
    <row r="140">
      <c r="A140" s="2">
        <f t="shared" si="1"/>
        <v>139</v>
      </c>
      <c r="B140" s="3">
        <f t="shared" si="2"/>
        <v>45335</v>
      </c>
      <c r="C140" s="3">
        <f t="shared" si="3"/>
        <v>45336</v>
      </c>
      <c r="D140" s="3" t="str">
        <f t="shared" si="4"/>
        <v>Completed</v>
      </c>
      <c r="E140" s="2">
        <f t="shared" si="5"/>
        <v>1</v>
      </c>
      <c r="F140" s="2" t="str">
        <f t="array" ref="F140">INDEX(lists!F:F,RANDBETWEEN(1,6))
</f>
        <v>Bedroom</v>
      </c>
      <c r="G140" s="2" t="str">
        <f t="array" ref="G140">IFS(
F140="Bedroom",INDEX(lists!G:G,RANDBETWEEN(1,4)),
F140="Living Room",INDEX(lists!H:H,RANDBETWEEN(1,4)),
F140="Dining",INDEX(lists!I:I,RANDBETWEEN(1,2)),
F140="Kitchen",INDEX(lists!J:J,RANDBETWEEN(1,4)),
F140="Office",INDEX(lists!K:K,RANDBETWEEN(1,3)),
F140="Household Essentials",INDEX(lists!L:L,RANDBETWEEN(1,3))
)
</f>
        <v>Dresser</v>
      </c>
      <c r="H140" s="2">
        <f t="shared" si="6"/>
        <v>1</v>
      </c>
      <c r="I140" s="2">
        <f t="shared" si="7"/>
        <v>1</v>
      </c>
      <c r="J140" s="2" t="str">
        <f t="array" ref="J140">INDEX(lists!A:A,RANDBETWEEN(1,19))
</f>
        <v>NewHeight Group</v>
      </c>
      <c r="K140" s="2" t="str">
        <f t="array" ref="K140">INDEX(lists!N:N,RANDBETWEEN(1,6))
</f>
        <v>Biddeford</v>
      </c>
      <c r="L140" s="2">
        <f t="shared" si="8"/>
        <v>5</v>
      </c>
      <c r="M140" s="2" t="str">
        <f t="array" ref="M140">INDEX(lists!O:O,RANDBETWEEN(1,2))
</f>
        <v>Pickup</v>
      </c>
      <c r="N140" s="2">
        <f t="shared" si="9"/>
        <v>2</v>
      </c>
    </row>
    <row r="141">
      <c r="A141" s="2">
        <f t="shared" si="1"/>
        <v>140</v>
      </c>
      <c r="B141" s="3">
        <f t="shared" si="2"/>
        <v>45778</v>
      </c>
      <c r="C141" s="3">
        <f t="shared" si="3"/>
        <v>45785</v>
      </c>
      <c r="D141" s="3" t="str">
        <f t="shared" si="4"/>
        <v>Completed</v>
      </c>
      <c r="E141" s="2">
        <f t="shared" si="5"/>
        <v>7</v>
      </c>
      <c r="F141" s="2" t="str">
        <f t="array" ref="F141">INDEX(lists!F:F,RANDBETWEEN(1,6))
</f>
        <v>Household Essentials</v>
      </c>
      <c r="G141" s="2" t="str">
        <f t="array" ref="G141">IFS(
F141="Bedroom",INDEX(lists!G:G,RANDBETWEEN(1,4)),
F141="Living Room",INDEX(lists!H:H,RANDBETWEEN(1,4)),
F141="Dining",INDEX(lists!I:I,RANDBETWEEN(1,2)),
F141="Kitchen",INDEX(lists!J:J,RANDBETWEEN(1,4)),
F141="Office",INDEX(lists!K:K,RANDBETWEEN(1,3)),
F141="Household Essentials",INDEX(lists!L:L,RANDBETWEEN(1,3))
)
</f>
        <v>Bedding</v>
      </c>
      <c r="H141" s="2">
        <f t="shared" si="6"/>
        <v>1</v>
      </c>
      <c r="I141" s="2">
        <f t="shared" si="7"/>
        <v>1</v>
      </c>
      <c r="J141" s="2" t="str">
        <f t="array" ref="J141">INDEX(lists!A:A,RANDBETWEEN(1,19))
</f>
        <v>Diversified</v>
      </c>
      <c r="K141" s="2" t="str">
        <f t="array" ref="K141">INDEX(lists!N:N,RANDBETWEEN(1,6))
</f>
        <v>Portland</v>
      </c>
      <c r="L141" s="2">
        <f t="shared" si="8"/>
        <v>1</v>
      </c>
      <c r="M141" s="2" t="str">
        <f t="array" ref="M141">INDEX(lists!O:O,RANDBETWEEN(1,2))
</f>
        <v>Delivery</v>
      </c>
      <c r="N141" s="2">
        <f t="shared" si="9"/>
        <v>5</v>
      </c>
    </row>
    <row r="142">
      <c r="A142" s="2">
        <f t="shared" si="1"/>
        <v>141</v>
      </c>
      <c r="B142" s="3">
        <f t="shared" si="2"/>
        <v>45655</v>
      </c>
      <c r="C142" s="3">
        <f t="shared" si="3"/>
        <v>45661</v>
      </c>
      <c r="D142" s="3" t="str">
        <f t="shared" si="4"/>
        <v>Completed</v>
      </c>
      <c r="E142" s="2">
        <f t="shared" si="5"/>
        <v>6</v>
      </c>
      <c r="F142" s="2" t="str">
        <f t="array" ref="F142">INDEX(lists!F:F,RANDBETWEEN(1,6))
</f>
        <v>Office</v>
      </c>
      <c r="G142" s="2" t="str">
        <f t="array" ref="G142">IFS(
F142="Bedroom",INDEX(lists!G:G,RANDBETWEEN(1,4)),
F142="Living Room",INDEX(lists!H:H,RANDBETWEEN(1,4)),
F142="Dining",INDEX(lists!I:I,RANDBETWEEN(1,2)),
F142="Kitchen",INDEX(lists!J:J,RANDBETWEEN(1,4)),
F142="Office",INDEX(lists!K:K,RANDBETWEEN(1,3)),
F142="Household Essentials",INDEX(lists!L:L,RANDBETWEEN(1,3))
)
</f>
        <v>Bookshelf</v>
      </c>
      <c r="H142" s="2">
        <f t="shared" si="6"/>
        <v>1</v>
      </c>
      <c r="I142" s="2">
        <f t="shared" si="7"/>
        <v>1</v>
      </c>
      <c r="J142" s="2" t="str">
        <f t="array" ref="J142">INDEX(lists!A:A,RANDBETWEEN(1,19))
</f>
        <v>Developers Collaborative</v>
      </c>
      <c r="K142" s="2" t="str">
        <f t="array" ref="K142">INDEX(lists!N:N,RANDBETWEEN(1,6))
</f>
        <v>Scarborough</v>
      </c>
      <c r="L142" s="2">
        <f t="shared" si="8"/>
        <v>4</v>
      </c>
      <c r="M142" s="2" t="str">
        <f t="array" ref="M142">INDEX(lists!O:O,RANDBETWEEN(1,2))
</f>
        <v>Delivery</v>
      </c>
      <c r="N142" s="2">
        <f t="shared" si="9"/>
        <v>2</v>
      </c>
    </row>
    <row r="143">
      <c r="A143" s="2">
        <f t="shared" si="1"/>
        <v>142</v>
      </c>
      <c r="B143" s="3">
        <f t="shared" si="2"/>
        <v>45809</v>
      </c>
      <c r="C143" s="3">
        <f t="shared" si="3"/>
        <v>45817</v>
      </c>
      <c r="D143" s="3" t="str">
        <f t="shared" si="4"/>
        <v>Completed</v>
      </c>
      <c r="E143" s="2">
        <f t="shared" si="5"/>
        <v>8</v>
      </c>
      <c r="F143" s="2" t="str">
        <f t="array" ref="F143">INDEX(lists!F:F,RANDBETWEEN(1,6))
</f>
        <v>Kitchen</v>
      </c>
      <c r="G143" s="2" t="str">
        <f t="array" ref="G143">IFS(
F143="Bedroom",INDEX(lists!G:G,RANDBETWEEN(1,4)),
F143="Living Room",INDEX(lists!H:H,RANDBETWEEN(1,4)),
F143="Dining",INDEX(lists!I:I,RANDBETWEEN(1,2)),
F143="Kitchen",INDEX(lists!J:J,RANDBETWEEN(1,4)),
F143="Office",INDEX(lists!K:K,RANDBETWEEN(1,3)),
F143="Household Essentials",INDEX(lists!L:L,RANDBETWEEN(1,3))
)
</f>
        <v>Pots &amp; Pans</v>
      </c>
      <c r="H143" s="2">
        <f t="shared" si="6"/>
        <v>1</v>
      </c>
      <c r="I143" s="2">
        <f t="shared" si="7"/>
        <v>1</v>
      </c>
      <c r="J143" s="2" t="str">
        <f t="array" ref="J143">INDEX(lists!A:A,RANDBETWEEN(1,19))
</f>
        <v>Coffee By Design</v>
      </c>
      <c r="K143" s="2" t="str">
        <f t="array" ref="K143">INDEX(lists!N:N,RANDBETWEEN(1,6))
</f>
        <v>Scarborough</v>
      </c>
      <c r="L143" s="2">
        <f t="shared" si="8"/>
        <v>3</v>
      </c>
      <c r="M143" s="2" t="str">
        <f t="array" ref="M143">INDEX(lists!O:O,RANDBETWEEN(1,2))
</f>
        <v>Pickup</v>
      </c>
      <c r="N143" s="2">
        <f t="shared" si="9"/>
        <v>2</v>
      </c>
    </row>
    <row r="144">
      <c r="A144" s="2">
        <f t="shared" si="1"/>
        <v>143</v>
      </c>
      <c r="B144" s="3">
        <f t="shared" si="2"/>
        <v>45800</v>
      </c>
      <c r="C144" s="3">
        <f t="shared" si="3"/>
        <v>45812</v>
      </c>
      <c r="D144" s="3" t="str">
        <f t="shared" si="4"/>
        <v>Completed</v>
      </c>
      <c r="E144" s="2">
        <f t="shared" si="5"/>
        <v>12</v>
      </c>
      <c r="F144" s="2" t="str">
        <f t="array" ref="F144">INDEX(lists!F:F,RANDBETWEEN(1,6))
</f>
        <v>Household Essentials</v>
      </c>
      <c r="G144" s="2" t="str">
        <f t="array" ref="G144">IFS(
F144="Bedroom",INDEX(lists!G:G,RANDBETWEEN(1,4)),
F144="Living Room",INDEX(lists!H:H,RANDBETWEEN(1,4)),
F144="Dining",INDEX(lists!I:I,RANDBETWEEN(1,2)),
F144="Kitchen",INDEX(lists!J:J,RANDBETWEEN(1,4)),
F144="Office",INDEX(lists!K:K,RANDBETWEEN(1,3)),
F144="Household Essentials",INDEX(lists!L:L,RANDBETWEEN(1,3))
)
</f>
        <v>Lamps</v>
      </c>
      <c r="H144" s="2">
        <f t="shared" si="6"/>
        <v>1</v>
      </c>
      <c r="I144" s="2">
        <f t="shared" si="7"/>
        <v>1</v>
      </c>
      <c r="J144" s="2" t="str">
        <f t="array" ref="J144">INDEX(lists!A:A,RANDBETWEEN(1,19))
</f>
        <v>Maine Community Bank</v>
      </c>
      <c r="K144" s="2" t="str">
        <f t="array" ref="K144">INDEX(lists!N:N,RANDBETWEEN(1,6))
</f>
        <v>South Portland</v>
      </c>
      <c r="L144" s="2">
        <f t="shared" si="8"/>
        <v>1</v>
      </c>
      <c r="M144" s="2" t="str">
        <f t="array" ref="M144">INDEX(lists!O:O,RANDBETWEEN(1,2))
</f>
        <v>Pickup</v>
      </c>
      <c r="N144" s="2">
        <f t="shared" si="9"/>
        <v>2</v>
      </c>
    </row>
    <row r="145">
      <c r="A145" s="2">
        <f t="shared" si="1"/>
        <v>144</v>
      </c>
      <c r="B145" s="3">
        <f t="shared" si="2"/>
        <v>45446</v>
      </c>
      <c r="C145" s="3">
        <f t="shared" si="3"/>
        <v>45487</v>
      </c>
      <c r="D145" s="3" t="str">
        <f t="shared" si="4"/>
        <v>Completed</v>
      </c>
      <c r="E145" s="2">
        <f t="shared" si="5"/>
        <v>41</v>
      </c>
      <c r="F145" s="2" t="str">
        <f t="array" ref="F145">INDEX(lists!F:F,RANDBETWEEN(1,6))
</f>
        <v>Office</v>
      </c>
      <c r="G145" s="2" t="str">
        <f t="array" ref="G145">IFS(
F145="Bedroom",INDEX(lists!G:G,RANDBETWEEN(1,4)),
F145="Living Room",INDEX(lists!H:H,RANDBETWEEN(1,4)),
F145="Dining",INDEX(lists!I:I,RANDBETWEEN(1,2)),
F145="Kitchen",INDEX(lists!J:J,RANDBETWEEN(1,4)),
F145="Office",INDEX(lists!K:K,RANDBETWEEN(1,3)),
F145="Household Essentials",INDEX(lists!L:L,RANDBETWEEN(1,3))
)
</f>
        <v>Office Chair</v>
      </c>
      <c r="H145" s="2">
        <f t="shared" si="6"/>
        <v>3</v>
      </c>
      <c r="I145" s="2">
        <f t="shared" si="7"/>
        <v>1</v>
      </c>
      <c r="J145" s="2" t="str">
        <f t="array" ref="J145">INDEX(lists!A:A,RANDBETWEEN(1,19))
</f>
        <v>Saco &amp; Biddeford Savings</v>
      </c>
      <c r="K145" s="2" t="str">
        <f t="array" ref="K145">INDEX(lists!N:N,RANDBETWEEN(1,6))
</f>
        <v>Scarborough</v>
      </c>
      <c r="L145" s="2">
        <f t="shared" si="8"/>
        <v>3</v>
      </c>
      <c r="M145" s="2" t="str">
        <f t="array" ref="M145">INDEX(lists!O:O,RANDBETWEEN(1,2))
</f>
        <v>Delivery</v>
      </c>
      <c r="N145" s="2">
        <f t="shared" si="9"/>
        <v>2</v>
      </c>
    </row>
    <row r="146">
      <c r="A146" s="2">
        <f t="shared" si="1"/>
        <v>145</v>
      </c>
      <c r="B146" s="3">
        <f t="shared" si="2"/>
        <v>45359</v>
      </c>
      <c r="C146" s="3" t="str">
        <f t="shared" si="3"/>
        <v/>
      </c>
      <c r="D146" s="3" t="str">
        <f t="shared" si="4"/>
        <v>Cancelled</v>
      </c>
      <c r="E146" s="2" t="str">
        <f t="shared" si="5"/>
        <v/>
      </c>
      <c r="F146" s="2" t="str">
        <f t="array" ref="F146">INDEX(lists!F:F,RANDBETWEEN(1,6))
</f>
        <v>Dining</v>
      </c>
      <c r="G146" s="2" t="str">
        <f t="array" ref="G146">IFS(
F146="Bedroom",INDEX(lists!G:G,RANDBETWEEN(1,4)),
F146="Living Room",INDEX(lists!H:H,RANDBETWEEN(1,4)),
F146="Dining",INDEX(lists!I:I,RANDBETWEEN(1,2)),
F146="Kitchen",INDEX(lists!J:J,RANDBETWEEN(1,4)),
F146="Office",INDEX(lists!K:K,RANDBETWEEN(1,3)),
F146="Household Essentials",INDEX(lists!L:L,RANDBETWEEN(1,3))
)
</f>
        <v>Dining Chair</v>
      </c>
      <c r="H146" s="2">
        <f t="shared" si="6"/>
        <v>1</v>
      </c>
      <c r="I146" s="2" t="str">
        <f t="shared" si="7"/>
        <v/>
      </c>
      <c r="J146" s="2" t="str">
        <f t="array" ref="J146">INDEX(lists!A:A,RANDBETWEEN(1,19))
</f>
        <v>Systems Engineering</v>
      </c>
      <c r="K146" s="2" t="str">
        <f t="array" ref="K146">INDEX(lists!N:N,RANDBETWEEN(1,6))
</f>
        <v>Westbrook</v>
      </c>
      <c r="L146" s="2">
        <f t="shared" si="8"/>
        <v>2</v>
      </c>
      <c r="M146" s="2" t="str">
        <f t="array" ref="M146">INDEX(lists!O:O,RANDBETWEEN(1,2))
</f>
        <v>Delivery</v>
      </c>
      <c r="N146" s="2">
        <f t="shared" si="9"/>
        <v>4</v>
      </c>
    </row>
    <row r="147">
      <c r="A147" s="2">
        <f t="shared" si="1"/>
        <v>146</v>
      </c>
      <c r="B147" s="3">
        <f t="shared" si="2"/>
        <v>45620</v>
      </c>
      <c r="C147" s="3">
        <f t="shared" si="3"/>
        <v>45622</v>
      </c>
      <c r="D147" s="3" t="str">
        <f t="shared" si="4"/>
        <v>Completed</v>
      </c>
      <c r="E147" s="2">
        <f t="shared" si="5"/>
        <v>2</v>
      </c>
      <c r="F147" s="2" t="str">
        <f t="array" ref="F147">INDEX(lists!F:F,RANDBETWEEN(1,6))
</f>
        <v>Household Essentials</v>
      </c>
      <c r="G147" s="2" t="str">
        <f t="array" ref="G147">IFS(
F147="Bedroom",INDEX(lists!G:G,RANDBETWEEN(1,4)),
F147="Living Room",INDEX(lists!H:H,RANDBETWEEN(1,4)),
F147="Dining",INDEX(lists!I:I,RANDBETWEEN(1,2)),
F147="Kitchen",INDEX(lists!J:J,RANDBETWEEN(1,4)),
F147="Office",INDEX(lists!K:K,RANDBETWEEN(1,3)),
F147="Household Essentials",INDEX(lists!L:L,RANDBETWEEN(1,3))
)
</f>
        <v>Lamps</v>
      </c>
      <c r="H147" s="2">
        <f t="shared" si="6"/>
        <v>3</v>
      </c>
      <c r="I147" s="2">
        <f t="shared" si="7"/>
        <v>1</v>
      </c>
      <c r="J147" s="2" t="str">
        <f t="array" ref="J147">INDEX(lists!A:A,RANDBETWEEN(1,19))
</f>
        <v>GoGo Refill</v>
      </c>
      <c r="K147" s="2" t="str">
        <f t="array" ref="K147">INDEX(lists!N:N,RANDBETWEEN(1,6))
</f>
        <v>Biddeford</v>
      </c>
      <c r="L147" s="2">
        <f t="shared" si="8"/>
        <v>5</v>
      </c>
      <c r="M147" s="2" t="str">
        <f t="array" ref="M147">INDEX(lists!O:O,RANDBETWEEN(1,2))
</f>
        <v>Delivery</v>
      </c>
      <c r="N147" s="2">
        <f t="shared" si="9"/>
        <v>4</v>
      </c>
    </row>
    <row r="148">
      <c r="A148" s="2">
        <f t="shared" si="1"/>
        <v>147</v>
      </c>
      <c r="B148" s="3">
        <f t="shared" si="2"/>
        <v>45595</v>
      </c>
      <c r="C148" s="3">
        <f t="shared" si="3"/>
        <v>45625</v>
      </c>
      <c r="D148" s="3" t="str">
        <f t="shared" si="4"/>
        <v>Completed</v>
      </c>
      <c r="E148" s="2">
        <f t="shared" si="5"/>
        <v>30</v>
      </c>
      <c r="F148" s="2" t="str">
        <f t="array" ref="F148">INDEX(lists!F:F,RANDBETWEEN(1,6))
</f>
        <v>Dining</v>
      </c>
      <c r="G148" s="2" t="str">
        <f t="array" ref="G148">IFS(
F148="Bedroom",INDEX(lists!G:G,RANDBETWEEN(1,4)),
F148="Living Room",INDEX(lists!H:H,RANDBETWEEN(1,4)),
F148="Dining",INDEX(lists!I:I,RANDBETWEEN(1,2)),
F148="Kitchen",INDEX(lists!J:J,RANDBETWEEN(1,4)),
F148="Office",INDEX(lists!K:K,RANDBETWEEN(1,3)),
F148="Household Essentials",INDEX(lists!L:L,RANDBETWEEN(1,3))
)
</f>
        <v>Dining Table</v>
      </c>
      <c r="H148" s="2">
        <f t="shared" si="6"/>
        <v>2</v>
      </c>
      <c r="I148" s="2">
        <f t="shared" si="7"/>
        <v>2</v>
      </c>
      <c r="J148" s="2" t="str">
        <f t="array" ref="J148">INDEX(lists!A:A,RANDBETWEEN(1,19))
</f>
        <v>Developers Collaborative</v>
      </c>
      <c r="K148" s="2" t="str">
        <f t="array" ref="K148">INDEX(lists!N:N,RANDBETWEEN(1,6))
</f>
        <v>Scarborough</v>
      </c>
      <c r="L148" s="2">
        <f t="shared" si="8"/>
        <v>3</v>
      </c>
      <c r="M148" s="2" t="str">
        <f t="array" ref="M148">INDEX(lists!O:O,RANDBETWEEN(1,2))
</f>
        <v>Pickup</v>
      </c>
      <c r="N148" s="2">
        <f t="shared" si="9"/>
        <v>6</v>
      </c>
    </row>
    <row r="149">
      <c r="A149" s="2">
        <f t="shared" si="1"/>
        <v>148</v>
      </c>
      <c r="B149" s="3">
        <f t="shared" si="2"/>
        <v>45312</v>
      </c>
      <c r="C149" s="3">
        <f t="shared" si="3"/>
        <v>45329</v>
      </c>
      <c r="D149" s="3" t="str">
        <f t="shared" si="4"/>
        <v>Completed</v>
      </c>
      <c r="E149" s="2">
        <f t="shared" si="5"/>
        <v>17</v>
      </c>
      <c r="F149" s="2" t="str">
        <f t="array" ref="F149">INDEX(lists!F:F,RANDBETWEEN(1,6))
</f>
        <v>Living Room</v>
      </c>
      <c r="G149" s="2" t="str">
        <f t="array" ref="G149">IFS(
F149="Bedroom",INDEX(lists!G:G,RANDBETWEEN(1,4)),
F149="Living Room",INDEX(lists!H:H,RANDBETWEEN(1,4)),
F149="Dining",INDEX(lists!I:I,RANDBETWEEN(1,2)),
F149="Kitchen",INDEX(lists!J:J,RANDBETWEEN(1,4)),
F149="Office",INDEX(lists!K:K,RANDBETWEEN(1,3)),
F149="Household Essentials",INDEX(lists!L:L,RANDBETWEEN(1,3))
)
</f>
        <v>Sofa</v>
      </c>
      <c r="H149" s="2">
        <f t="shared" si="6"/>
        <v>3</v>
      </c>
      <c r="I149" s="2">
        <f t="shared" si="7"/>
        <v>3</v>
      </c>
      <c r="J149" s="2" t="str">
        <f t="array" ref="J149">INDEX(lists!A:A,RANDBETWEEN(1,19))
</f>
        <v>Westbrook Housing</v>
      </c>
      <c r="K149" s="2" t="str">
        <f t="array" ref="K149">INDEX(lists!N:N,RANDBETWEEN(1,6))
</f>
        <v>Portland</v>
      </c>
      <c r="L149" s="2">
        <f t="shared" si="8"/>
        <v>6</v>
      </c>
      <c r="M149" s="2" t="str">
        <f t="array" ref="M149">INDEX(lists!O:O,RANDBETWEEN(1,2))
</f>
        <v>Pickup</v>
      </c>
      <c r="N149" s="2">
        <f t="shared" si="9"/>
        <v>5</v>
      </c>
    </row>
    <row r="150">
      <c r="A150" s="2">
        <f t="shared" si="1"/>
        <v>149</v>
      </c>
      <c r="B150" s="3">
        <f t="shared" si="2"/>
        <v>45395</v>
      </c>
      <c r="C150" s="3">
        <f t="shared" si="3"/>
        <v>45406</v>
      </c>
      <c r="D150" s="3" t="str">
        <f t="shared" si="4"/>
        <v>Completed</v>
      </c>
      <c r="E150" s="2">
        <f t="shared" si="5"/>
        <v>11</v>
      </c>
      <c r="F150" s="2" t="str">
        <f t="array" ref="F150">INDEX(lists!F:F,RANDBETWEEN(1,6))
</f>
        <v>Kitchen</v>
      </c>
      <c r="G150" s="2" t="str">
        <f t="array" ref="G150">IFS(
F150="Bedroom",INDEX(lists!G:G,RANDBETWEEN(1,4)),
F150="Living Room",INDEX(lists!H:H,RANDBETWEEN(1,4)),
F150="Dining",INDEX(lists!I:I,RANDBETWEEN(1,2)),
F150="Kitchen",INDEX(lists!J:J,RANDBETWEEN(1,4)),
F150="Office",INDEX(lists!K:K,RANDBETWEEN(1,3)),
F150="Household Essentials",INDEX(lists!L:L,RANDBETWEEN(1,3))
)
</f>
        <v>Dishes</v>
      </c>
      <c r="H150" s="2">
        <f t="shared" si="6"/>
        <v>4</v>
      </c>
      <c r="I150" s="2">
        <f t="shared" si="7"/>
        <v>3</v>
      </c>
      <c r="J150" s="2" t="str">
        <f t="array" ref="J150">INDEX(lists!A:A,RANDBETWEEN(1,19))
</f>
        <v>Portland Harbor Group Raymond James</v>
      </c>
      <c r="K150" s="2" t="str">
        <f t="array" ref="K150">INDEX(lists!N:N,RANDBETWEEN(1,6))
</f>
        <v>Scarborough</v>
      </c>
      <c r="L150" s="2">
        <f t="shared" si="8"/>
        <v>4</v>
      </c>
      <c r="M150" s="2" t="str">
        <f t="array" ref="M150">INDEX(lists!O:O,RANDBETWEEN(1,2))
</f>
        <v>Pickup</v>
      </c>
      <c r="N150" s="2">
        <f t="shared" si="9"/>
        <v>4</v>
      </c>
    </row>
    <row r="151">
      <c r="A151" s="2">
        <f t="shared" si="1"/>
        <v>150</v>
      </c>
      <c r="B151" s="3">
        <f t="shared" si="2"/>
        <v>45702</v>
      </c>
      <c r="C151" s="3" t="str">
        <f t="shared" si="3"/>
        <v/>
      </c>
      <c r="D151" s="3" t="str">
        <f t="shared" si="4"/>
        <v>Pending</v>
      </c>
      <c r="E151" s="2" t="str">
        <f t="shared" si="5"/>
        <v/>
      </c>
      <c r="F151" s="2" t="str">
        <f t="array" ref="F151">INDEX(lists!F:F,RANDBETWEEN(1,6))
</f>
        <v>Living Room</v>
      </c>
      <c r="G151" s="2" t="str">
        <f t="array" ref="G151">IFS(
F151="Bedroom",INDEX(lists!G:G,RANDBETWEEN(1,4)),
F151="Living Room",INDEX(lists!H:H,RANDBETWEEN(1,4)),
F151="Dining",INDEX(lists!I:I,RANDBETWEEN(1,2)),
F151="Kitchen",INDEX(lists!J:J,RANDBETWEEN(1,4)),
F151="Office",INDEX(lists!K:K,RANDBETWEEN(1,3)),
F151="Household Essentials",INDEX(lists!L:L,RANDBETWEEN(1,3))
)
</f>
        <v>TV Stand</v>
      </c>
      <c r="H151" s="2">
        <f t="shared" si="6"/>
        <v>1</v>
      </c>
      <c r="I151" s="2" t="str">
        <f t="shared" si="7"/>
        <v/>
      </c>
      <c r="J151" s="2" t="str">
        <f t="array" ref="J151">INDEX(lists!A:A,RANDBETWEEN(1,19))
</f>
        <v>Systems Engineering</v>
      </c>
      <c r="K151" s="2" t="str">
        <f t="array" ref="K151">INDEX(lists!N:N,RANDBETWEEN(1,6))
</f>
        <v>Scarborough</v>
      </c>
      <c r="L151" s="2">
        <f t="shared" si="8"/>
        <v>4</v>
      </c>
      <c r="M151" s="2" t="str">
        <f t="array" ref="M151">INDEX(lists!O:O,RANDBETWEEN(1,2))
</f>
        <v>Delivery</v>
      </c>
      <c r="N151" s="2">
        <f t="shared" si="9"/>
        <v>6</v>
      </c>
    </row>
    <row r="152">
      <c r="A152" s="2">
        <f t="shared" si="1"/>
        <v>151</v>
      </c>
      <c r="B152" s="3">
        <f t="shared" si="2"/>
        <v>45589</v>
      </c>
      <c r="C152" s="3">
        <f t="shared" si="3"/>
        <v>45599</v>
      </c>
      <c r="D152" s="3" t="str">
        <f t="shared" si="4"/>
        <v>Completed</v>
      </c>
      <c r="E152" s="2">
        <f t="shared" si="5"/>
        <v>10</v>
      </c>
      <c r="F152" s="2" t="str">
        <f t="array" ref="F152">INDEX(lists!F:F,RANDBETWEEN(1,6))
</f>
        <v>Kitchen</v>
      </c>
      <c r="G152" s="2" t="str">
        <f t="array" ref="G152">IFS(
F152="Bedroom",INDEX(lists!G:G,RANDBETWEEN(1,4)),
F152="Living Room",INDEX(lists!H:H,RANDBETWEEN(1,4)),
F152="Dining",INDEX(lists!I:I,RANDBETWEEN(1,2)),
F152="Kitchen",INDEX(lists!J:J,RANDBETWEEN(1,4)),
F152="Office",INDEX(lists!K:K,RANDBETWEEN(1,3)),
F152="Household Essentials",INDEX(lists!L:L,RANDBETWEEN(1,3))
)
</f>
        <v>Microwave</v>
      </c>
      <c r="H152" s="2">
        <f t="shared" si="6"/>
        <v>1</v>
      </c>
      <c r="I152" s="2">
        <f t="shared" si="7"/>
        <v>1</v>
      </c>
      <c r="J152" s="2" t="str">
        <f t="array" ref="J152">INDEX(lists!A:A,RANDBETWEEN(1,19))
</f>
        <v>Center for Real Estate Studies</v>
      </c>
      <c r="K152" s="2" t="str">
        <f t="array" ref="K152">INDEX(lists!N:N,RANDBETWEEN(1,6))
</f>
        <v>Biddeford</v>
      </c>
      <c r="L152" s="2">
        <f t="shared" si="8"/>
        <v>6</v>
      </c>
      <c r="M152" s="2" t="str">
        <f t="array" ref="M152">INDEX(lists!O:O,RANDBETWEEN(1,2))
</f>
        <v>Pickup</v>
      </c>
      <c r="N152" s="2">
        <f t="shared" si="9"/>
        <v>5</v>
      </c>
    </row>
    <row r="153">
      <c r="A153" s="2">
        <f t="shared" si="1"/>
        <v>152</v>
      </c>
      <c r="B153" s="3">
        <f t="shared" si="2"/>
        <v>45430</v>
      </c>
      <c r="C153" s="3">
        <f t="shared" si="3"/>
        <v>45441</v>
      </c>
      <c r="D153" s="3" t="str">
        <f t="shared" si="4"/>
        <v>Completed</v>
      </c>
      <c r="E153" s="2">
        <f t="shared" si="5"/>
        <v>11</v>
      </c>
      <c r="F153" s="2" t="str">
        <f t="array" ref="F153">INDEX(lists!F:F,RANDBETWEEN(1,6))
</f>
        <v>Bedroom</v>
      </c>
      <c r="G153" s="2" t="str">
        <f t="array" ref="G153">IFS(
F153="Bedroom",INDEX(lists!G:G,RANDBETWEEN(1,4)),
F153="Living Room",INDEX(lists!H:H,RANDBETWEEN(1,4)),
F153="Dining",INDEX(lists!I:I,RANDBETWEEN(1,2)),
F153="Kitchen",INDEX(lists!J:J,RANDBETWEEN(1,4)),
F153="Office",INDEX(lists!K:K,RANDBETWEEN(1,3)),
F153="Household Essentials",INDEX(lists!L:L,RANDBETWEEN(1,3))
)
</f>
        <v>Mattress</v>
      </c>
      <c r="H153" s="2">
        <f t="shared" si="6"/>
        <v>3</v>
      </c>
      <c r="I153" s="2">
        <f t="shared" si="7"/>
        <v>1</v>
      </c>
      <c r="J153" s="2" t="str">
        <f t="array" ref="J153">INDEX(lists!A:A,RANDBETWEEN(1,19))
</f>
        <v>Jordan's Furniture</v>
      </c>
      <c r="K153" s="2" t="str">
        <f t="array" ref="K153">INDEX(lists!N:N,RANDBETWEEN(1,6))
</f>
        <v>Westbrook</v>
      </c>
      <c r="L153" s="2">
        <f t="shared" si="8"/>
        <v>3</v>
      </c>
      <c r="M153" s="2" t="str">
        <f t="array" ref="M153">INDEX(lists!O:O,RANDBETWEEN(1,2))
</f>
        <v>Delivery</v>
      </c>
      <c r="N153" s="2">
        <f t="shared" si="9"/>
        <v>2</v>
      </c>
    </row>
    <row r="154">
      <c r="A154" s="2">
        <f t="shared" si="1"/>
        <v>153</v>
      </c>
      <c r="B154" s="3">
        <f t="shared" si="2"/>
        <v>45562</v>
      </c>
      <c r="C154" s="3" t="str">
        <f t="shared" si="3"/>
        <v/>
      </c>
      <c r="D154" s="3" t="str">
        <f t="shared" si="4"/>
        <v>Pending</v>
      </c>
      <c r="E154" s="2" t="str">
        <f t="shared" si="5"/>
        <v/>
      </c>
      <c r="F154" s="2" t="str">
        <f t="array" ref="F154">INDEX(lists!F:F,RANDBETWEEN(1,6))
</f>
        <v>Office</v>
      </c>
      <c r="G154" s="2" t="str">
        <f t="array" ref="G154">IFS(
F154="Bedroom",INDEX(lists!G:G,RANDBETWEEN(1,4)),
F154="Living Room",INDEX(lists!H:H,RANDBETWEEN(1,4)),
F154="Dining",INDEX(lists!I:I,RANDBETWEEN(1,2)),
F154="Kitchen",INDEX(lists!J:J,RANDBETWEEN(1,4)),
F154="Office",INDEX(lists!K:K,RANDBETWEEN(1,3)),
F154="Household Essentials",INDEX(lists!L:L,RANDBETWEEN(1,3))
)
</f>
        <v>Office Chair</v>
      </c>
      <c r="H154" s="2">
        <f t="shared" si="6"/>
        <v>1</v>
      </c>
      <c r="I154" s="2" t="str">
        <f t="shared" si="7"/>
        <v/>
      </c>
      <c r="J154" s="2" t="str">
        <f t="array" ref="J154">INDEX(lists!A:A,RANDBETWEEN(1,19))
</f>
        <v>NewHeight Group</v>
      </c>
      <c r="K154" s="2" t="str">
        <f t="array" ref="K154">INDEX(lists!N:N,RANDBETWEEN(1,6))
</f>
        <v>Portland</v>
      </c>
      <c r="L154" s="2">
        <f t="shared" si="8"/>
        <v>1</v>
      </c>
      <c r="M154" s="2" t="str">
        <f t="array" ref="M154">INDEX(lists!O:O,RANDBETWEEN(1,2))
</f>
        <v>Delivery</v>
      </c>
      <c r="N154" s="2">
        <f t="shared" si="9"/>
        <v>1</v>
      </c>
    </row>
    <row r="155">
      <c r="A155" s="2">
        <f t="shared" si="1"/>
        <v>154</v>
      </c>
      <c r="B155" s="3">
        <f t="shared" si="2"/>
        <v>45524</v>
      </c>
      <c r="C155" s="3">
        <f t="shared" si="3"/>
        <v>45534</v>
      </c>
      <c r="D155" s="3" t="str">
        <f t="shared" si="4"/>
        <v>Completed</v>
      </c>
      <c r="E155" s="2">
        <f t="shared" si="5"/>
        <v>10</v>
      </c>
      <c r="F155" s="2" t="str">
        <f t="array" ref="F155">INDEX(lists!F:F,RANDBETWEEN(1,6))
</f>
        <v>Household Essentials</v>
      </c>
      <c r="G155" s="2" t="str">
        <f t="array" ref="G155">IFS(
F155="Bedroom",INDEX(lists!G:G,RANDBETWEEN(1,4)),
F155="Living Room",INDEX(lists!H:H,RANDBETWEEN(1,4)),
F155="Dining",INDEX(lists!I:I,RANDBETWEEN(1,2)),
F155="Kitchen",INDEX(lists!J:J,RANDBETWEEN(1,4)),
F155="Office",INDEX(lists!K:K,RANDBETWEEN(1,3)),
F155="Household Essentials",INDEX(lists!L:L,RANDBETWEEN(1,3))
)
</f>
        <v>Lamps</v>
      </c>
      <c r="H155" s="2">
        <f t="shared" si="6"/>
        <v>1</v>
      </c>
      <c r="I155" s="2">
        <f t="shared" si="7"/>
        <v>1</v>
      </c>
      <c r="J155" s="2" t="str">
        <f t="array" ref="J155">INDEX(lists!A:A,RANDBETWEEN(1,19))
</f>
        <v>GoGo Refill</v>
      </c>
      <c r="K155" s="2" t="str">
        <f t="array" ref="K155">INDEX(lists!N:N,RANDBETWEEN(1,6))
</f>
        <v>Falmouth</v>
      </c>
      <c r="L155" s="2">
        <f t="shared" si="8"/>
        <v>5</v>
      </c>
      <c r="M155" s="2" t="str">
        <f t="array" ref="M155">INDEX(lists!O:O,RANDBETWEEN(1,2))
</f>
        <v>Delivery</v>
      </c>
      <c r="N155" s="2">
        <f t="shared" si="9"/>
        <v>3</v>
      </c>
    </row>
    <row r="156">
      <c r="A156" s="2">
        <f t="shared" si="1"/>
        <v>155</v>
      </c>
      <c r="B156" s="3">
        <f t="shared" si="2"/>
        <v>45728</v>
      </c>
      <c r="C156" s="3">
        <f t="shared" si="3"/>
        <v>45736</v>
      </c>
      <c r="D156" s="3" t="str">
        <f t="shared" si="4"/>
        <v>Completed</v>
      </c>
      <c r="E156" s="2">
        <f t="shared" si="5"/>
        <v>8</v>
      </c>
      <c r="F156" s="2" t="str">
        <f t="array" ref="F156">INDEX(lists!F:F,RANDBETWEEN(1,6))
</f>
        <v>Bedroom</v>
      </c>
      <c r="G156" s="2" t="str">
        <f t="array" ref="G156">IFS(
F156="Bedroom",INDEX(lists!G:G,RANDBETWEEN(1,4)),
F156="Living Room",INDEX(lists!H:H,RANDBETWEEN(1,4)),
F156="Dining",INDEX(lists!I:I,RANDBETWEEN(1,2)),
F156="Kitchen",INDEX(lists!J:J,RANDBETWEEN(1,4)),
F156="Office",INDEX(lists!K:K,RANDBETWEEN(1,3)),
F156="Household Essentials",INDEX(lists!L:L,RANDBETWEEN(1,3))
)
</f>
        <v>Dresser</v>
      </c>
      <c r="H156" s="2">
        <f t="shared" si="6"/>
        <v>4</v>
      </c>
      <c r="I156" s="2">
        <f t="shared" si="7"/>
        <v>1</v>
      </c>
      <c r="J156" s="2" t="str">
        <f t="array" ref="J156">INDEX(lists!A:A,RANDBETWEEN(1,19))
</f>
        <v>Coffee By Design</v>
      </c>
      <c r="K156" s="2" t="str">
        <f t="array" ref="K156">INDEX(lists!N:N,RANDBETWEEN(1,6))
</f>
        <v>South Portland</v>
      </c>
      <c r="L156" s="2">
        <f t="shared" si="8"/>
        <v>6</v>
      </c>
      <c r="M156" s="2" t="str">
        <f t="array" ref="M156">INDEX(lists!O:O,RANDBETWEEN(1,2))
</f>
        <v>Pickup</v>
      </c>
      <c r="N156" s="2">
        <f t="shared" si="9"/>
        <v>1</v>
      </c>
    </row>
    <row r="157">
      <c r="A157" s="2">
        <f t="shared" si="1"/>
        <v>156</v>
      </c>
      <c r="B157" s="3">
        <f t="shared" si="2"/>
        <v>45410</v>
      </c>
      <c r="C157" s="3">
        <f t="shared" si="3"/>
        <v>45415</v>
      </c>
      <c r="D157" s="3" t="str">
        <f t="shared" si="4"/>
        <v>Completed</v>
      </c>
      <c r="E157" s="2">
        <f t="shared" si="5"/>
        <v>5</v>
      </c>
      <c r="F157" s="2" t="str">
        <f t="array" ref="F157">INDEX(lists!F:F,RANDBETWEEN(1,6))
</f>
        <v>Office</v>
      </c>
      <c r="G157" s="2" t="str">
        <f t="array" ref="G157">IFS(
F157="Bedroom",INDEX(lists!G:G,RANDBETWEEN(1,4)),
F157="Living Room",INDEX(lists!H:H,RANDBETWEEN(1,4)),
F157="Dining",INDEX(lists!I:I,RANDBETWEEN(1,2)),
F157="Kitchen",INDEX(lists!J:J,RANDBETWEEN(1,4)),
F157="Office",INDEX(lists!K:K,RANDBETWEEN(1,3)),
F157="Household Essentials",INDEX(lists!L:L,RANDBETWEEN(1,3))
)
</f>
        <v>Office Chair</v>
      </c>
      <c r="H157" s="2">
        <f t="shared" si="6"/>
        <v>3</v>
      </c>
      <c r="I157" s="2">
        <f t="shared" si="7"/>
        <v>1</v>
      </c>
      <c r="J157" s="2" t="str">
        <f t="array" ref="J157">INDEX(lists!A:A,RANDBETWEEN(1,19))
</f>
        <v>Shutterbugs 4 Charity</v>
      </c>
      <c r="K157" s="2" t="str">
        <f t="array" ref="K157">INDEX(lists!N:N,RANDBETWEEN(1,6))
</f>
        <v>Westbrook</v>
      </c>
      <c r="L157" s="2">
        <f t="shared" si="8"/>
        <v>5</v>
      </c>
      <c r="M157" s="2" t="str">
        <f t="array" ref="M157">INDEX(lists!O:O,RANDBETWEEN(1,2))
</f>
        <v>Delivery</v>
      </c>
      <c r="N157" s="2">
        <f t="shared" si="9"/>
        <v>2</v>
      </c>
    </row>
    <row r="158">
      <c r="A158" s="2">
        <f t="shared" si="1"/>
        <v>157</v>
      </c>
      <c r="B158" s="3">
        <f t="shared" si="2"/>
        <v>45666</v>
      </c>
      <c r="C158" s="3">
        <f t="shared" si="3"/>
        <v>45680</v>
      </c>
      <c r="D158" s="3" t="str">
        <f t="shared" si="4"/>
        <v>Completed</v>
      </c>
      <c r="E158" s="2">
        <f t="shared" si="5"/>
        <v>14</v>
      </c>
      <c r="F158" s="2" t="str">
        <f t="array" ref="F158">INDEX(lists!F:F,RANDBETWEEN(1,6))
</f>
        <v>Office</v>
      </c>
      <c r="G158" s="2" t="str">
        <f t="array" ref="G158">IFS(
F158="Bedroom",INDEX(lists!G:G,RANDBETWEEN(1,4)),
F158="Living Room",INDEX(lists!H:H,RANDBETWEEN(1,4)),
F158="Dining",INDEX(lists!I:I,RANDBETWEEN(1,2)),
F158="Kitchen",INDEX(lists!J:J,RANDBETWEEN(1,4)),
F158="Office",INDEX(lists!K:K,RANDBETWEEN(1,3)),
F158="Household Essentials",INDEX(lists!L:L,RANDBETWEEN(1,3))
)
</f>
        <v>Office Chair</v>
      </c>
      <c r="H158" s="2">
        <f t="shared" si="6"/>
        <v>1</v>
      </c>
      <c r="I158" s="2">
        <f t="shared" si="7"/>
        <v>1</v>
      </c>
      <c r="J158" s="2" t="str">
        <f t="array" ref="J158">INDEX(lists!A:A,RANDBETWEEN(1,19))
</f>
        <v>EthosVont</v>
      </c>
      <c r="K158" s="2" t="str">
        <f t="array" ref="K158">INDEX(lists!N:N,RANDBETWEEN(1,6))
</f>
        <v>Falmouth</v>
      </c>
      <c r="L158" s="2">
        <f t="shared" si="8"/>
        <v>6</v>
      </c>
      <c r="M158" s="2" t="str">
        <f t="array" ref="M158">INDEX(lists!O:O,RANDBETWEEN(1,2))
</f>
        <v>Pickup</v>
      </c>
      <c r="N158" s="2">
        <f t="shared" si="9"/>
        <v>1</v>
      </c>
    </row>
    <row r="159">
      <c r="A159" s="2">
        <f t="shared" si="1"/>
        <v>158</v>
      </c>
      <c r="B159" s="3">
        <f t="shared" si="2"/>
        <v>45357</v>
      </c>
      <c r="C159" s="3">
        <f t="shared" si="3"/>
        <v>45399</v>
      </c>
      <c r="D159" s="3" t="str">
        <f t="shared" si="4"/>
        <v>Completed</v>
      </c>
      <c r="E159" s="2">
        <f t="shared" si="5"/>
        <v>42</v>
      </c>
      <c r="F159" s="2" t="str">
        <f t="array" ref="F159">INDEX(lists!F:F,RANDBETWEEN(1,6))
</f>
        <v>Household Essentials</v>
      </c>
      <c r="G159" s="2" t="str">
        <f t="array" ref="G159">IFS(
F159="Bedroom",INDEX(lists!G:G,RANDBETWEEN(1,4)),
F159="Living Room",INDEX(lists!H:H,RANDBETWEEN(1,4)),
F159="Dining",INDEX(lists!I:I,RANDBETWEEN(1,2)),
F159="Kitchen",INDEX(lists!J:J,RANDBETWEEN(1,4)),
F159="Office",INDEX(lists!K:K,RANDBETWEEN(1,3)),
F159="Household Essentials",INDEX(lists!L:L,RANDBETWEEN(1,3))
)
</f>
        <v>Lamps</v>
      </c>
      <c r="H159" s="2">
        <f t="shared" si="6"/>
        <v>4</v>
      </c>
      <c r="I159" s="2">
        <f t="shared" si="7"/>
        <v>1</v>
      </c>
      <c r="J159" s="2" t="str">
        <f t="array" ref="J159">INDEX(lists!A:A,RANDBETWEEN(1,19))
</f>
        <v>Jordan's Furniture</v>
      </c>
      <c r="K159" s="2" t="str">
        <f t="array" ref="K159">INDEX(lists!N:N,RANDBETWEEN(1,6))
</f>
        <v>Falmouth</v>
      </c>
      <c r="L159" s="2">
        <f t="shared" si="8"/>
        <v>1</v>
      </c>
      <c r="M159" s="2" t="str">
        <f t="array" ref="M159">INDEX(lists!O:O,RANDBETWEEN(1,2))
</f>
        <v>Pickup</v>
      </c>
      <c r="N159" s="2">
        <f t="shared" si="9"/>
        <v>2</v>
      </c>
    </row>
    <row r="160">
      <c r="A160" s="2">
        <f t="shared" si="1"/>
        <v>159</v>
      </c>
      <c r="B160" s="3">
        <f t="shared" si="2"/>
        <v>45663</v>
      </c>
      <c r="C160" s="3">
        <f t="shared" si="3"/>
        <v>45667</v>
      </c>
      <c r="D160" s="3" t="str">
        <f t="shared" si="4"/>
        <v>Completed</v>
      </c>
      <c r="E160" s="2">
        <f t="shared" si="5"/>
        <v>4</v>
      </c>
      <c r="F160" s="2" t="str">
        <f t="array" ref="F160">INDEX(lists!F:F,RANDBETWEEN(1,6))
</f>
        <v>Bedroom</v>
      </c>
      <c r="G160" s="2" t="str">
        <f t="array" ref="G160">IFS(
F160="Bedroom",INDEX(lists!G:G,RANDBETWEEN(1,4)),
F160="Living Room",INDEX(lists!H:H,RANDBETWEEN(1,4)),
F160="Dining",INDEX(lists!I:I,RANDBETWEEN(1,2)),
F160="Kitchen",INDEX(lists!J:J,RANDBETWEEN(1,4)),
F160="Office",INDEX(lists!K:K,RANDBETWEEN(1,3)),
F160="Household Essentials",INDEX(lists!L:L,RANDBETWEEN(1,3))
)
</f>
        <v>Dresser</v>
      </c>
      <c r="H160" s="2">
        <f t="shared" si="6"/>
        <v>2</v>
      </c>
      <c r="I160" s="2">
        <f t="shared" si="7"/>
        <v>1</v>
      </c>
      <c r="J160" s="2" t="str">
        <f t="array" ref="J160">INDEX(lists!A:A,RANDBETWEEN(1,19))
</f>
        <v>Systems Engineering</v>
      </c>
      <c r="K160" s="2" t="str">
        <f t="array" ref="K160">INDEX(lists!N:N,RANDBETWEEN(1,6))
</f>
        <v>South Portland</v>
      </c>
      <c r="L160" s="2">
        <f t="shared" si="8"/>
        <v>6</v>
      </c>
      <c r="M160" s="2" t="str">
        <f t="array" ref="M160">INDEX(lists!O:O,RANDBETWEEN(1,2))
</f>
        <v>Delivery</v>
      </c>
      <c r="N160" s="2">
        <f t="shared" si="9"/>
        <v>2</v>
      </c>
    </row>
    <row r="161">
      <c r="A161" s="2">
        <f t="shared" si="1"/>
        <v>160</v>
      </c>
      <c r="B161" s="3">
        <f t="shared" si="2"/>
        <v>45643</v>
      </c>
      <c r="C161" s="3">
        <f t="shared" si="3"/>
        <v>45645</v>
      </c>
      <c r="D161" s="3" t="str">
        <f t="shared" si="4"/>
        <v>Completed</v>
      </c>
      <c r="E161" s="2">
        <f t="shared" si="5"/>
        <v>2</v>
      </c>
      <c r="F161" s="2" t="str">
        <f t="array" ref="F161">INDEX(lists!F:F,RANDBETWEEN(1,6))
</f>
        <v>Bedroom</v>
      </c>
      <c r="G161" s="2" t="str">
        <f t="array" ref="G161">IFS(
F161="Bedroom",INDEX(lists!G:G,RANDBETWEEN(1,4)),
F161="Living Room",INDEX(lists!H:H,RANDBETWEEN(1,4)),
F161="Dining",INDEX(lists!I:I,RANDBETWEEN(1,2)),
F161="Kitchen",INDEX(lists!J:J,RANDBETWEEN(1,4)),
F161="Office",INDEX(lists!K:K,RANDBETWEEN(1,3)),
F161="Household Essentials",INDEX(lists!L:L,RANDBETWEEN(1,3))
)
</f>
        <v>Dresser</v>
      </c>
      <c r="H161" s="2">
        <f t="shared" si="6"/>
        <v>1</v>
      </c>
      <c r="I161" s="2">
        <f t="shared" si="7"/>
        <v>1</v>
      </c>
      <c r="J161" s="2" t="str">
        <f t="array" ref="J161">INDEX(lists!A:A,RANDBETWEEN(1,19))
</f>
        <v>Systems Engineering</v>
      </c>
      <c r="K161" s="2" t="str">
        <f t="array" ref="K161">INDEX(lists!N:N,RANDBETWEEN(1,6))
</f>
        <v>Scarborough</v>
      </c>
      <c r="L161" s="2">
        <f t="shared" si="8"/>
        <v>1</v>
      </c>
      <c r="M161" s="2" t="str">
        <f t="array" ref="M161">INDEX(lists!O:O,RANDBETWEEN(1,2))
</f>
        <v>Pickup</v>
      </c>
      <c r="N161" s="2">
        <f t="shared" si="9"/>
        <v>1</v>
      </c>
    </row>
    <row r="162">
      <c r="A162" s="2">
        <f t="shared" si="1"/>
        <v>161</v>
      </c>
      <c r="B162" s="3">
        <f t="shared" si="2"/>
        <v>45764</v>
      </c>
      <c r="C162" s="3">
        <f t="shared" si="3"/>
        <v>45775</v>
      </c>
      <c r="D162" s="3" t="str">
        <f t="shared" si="4"/>
        <v>Completed</v>
      </c>
      <c r="E162" s="2">
        <f t="shared" si="5"/>
        <v>11</v>
      </c>
      <c r="F162" s="2" t="str">
        <f t="array" ref="F162">INDEX(lists!F:F,RANDBETWEEN(1,6))
</f>
        <v>Kitchen</v>
      </c>
      <c r="G162" s="2" t="str">
        <f t="array" ref="G162">IFS(
F162="Bedroom",INDEX(lists!G:G,RANDBETWEEN(1,4)),
F162="Living Room",INDEX(lists!H:H,RANDBETWEEN(1,4)),
F162="Dining",INDEX(lists!I:I,RANDBETWEEN(1,2)),
F162="Kitchen",INDEX(lists!J:J,RANDBETWEEN(1,4)),
F162="Office",INDEX(lists!K:K,RANDBETWEEN(1,3)),
F162="Household Essentials",INDEX(lists!L:L,RANDBETWEEN(1,3))
)
</f>
        <v>Pots &amp; Pans</v>
      </c>
      <c r="H162" s="2">
        <f t="shared" si="6"/>
        <v>4</v>
      </c>
      <c r="I162" s="2">
        <f t="shared" si="7"/>
        <v>2</v>
      </c>
      <c r="J162" s="2" t="str">
        <f t="array" ref="J162">INDEX(lists!A:A,RANDBETWEEN(1,19))
</f>
        <v>Saco &amp; Biddeford Savings</v>
      </c>
      <c r="K162" s="2" t="str">
        <f t="array" ref="K162">INDEX(lists!N:N,RANDBETWEEN(1,6))
</f>
        <v>Biddeford</v>
      </c>
      <c r="L162" s="2">
        <f t="shared" si="8"/>
        <v>6</v>
      </c>
      <c r="M162" s="2" t="str">
        <f t="array" ref="M162">INDEX(lists!O:O,RANDBETWEEN(1,2))
</f>
        <v>Delivery</v>
      </c>
      <c r="N162" s="2">
        <f t="shared" si="9"/>
        <v>2</v>
      </c>
    </row>
    <row r="163">
      <c r="A163" s="2">
        <f t="shared" si="1"/>
        <v>162</v>
      </c>
      <c r="B163" s="3">
        <f t="shared" si="2"/>
        <v>45677</v>
      </c>
      <c r="C163" s="3" t="str">
        <f t="shared" si="3"/>
        <v/>
      </c>
      <c r="D163" s="3" t="str">
        <f t="shared" si="4"/>
        <v>Pending</v>
      </c>
      <c r="E163" s="2" t="str">
        <f t="shared" si="5"/>
        <v/>
      </c>
      <c r="F163" s="2" t="str">
        <f t="array" ref="F163">INDEX(lists!F:F,RANDBETWEEN(1,6))
</f>
        <v>Dining</v>
      </c>
      <c r="G163" s="2" t="str">
        <f t="array" ref="G163">IFS(
F163="Bedroom",INDEX(lists!G:G,RANDBETWEEN(1,4)),
F163="Living Room",INDEX(lists!H:H,RANDBETWEEN(1,4)),
F163="Dining",INDEX(lists!I:I,RANDBETWEEN(1,2)),
F163="Kitchen",INDEX(lists!J:J,RANDBETWEEN(1,4)),
F163="Office",INDEX(lists!K:K,RANDBETWEEN(1,3)),
F163="Household Essentials",INDEX(lists!L:L,RANDBETWEEN(1,3))
)
</f>
        <v>Dining Table</v>
      </c>
      <c r="H163" s="2">
        <f t="shared" si="6"/>
        <v>2</v>
      </c>
      <c r="I163" s="2" t="str">
        <f t="shared" si="7"/>
        <v/>
      </c>
      <c r="J163" s="2" t="str">
        <f t="array" ref="J163">INDEX(lists!A:A,RANDBETWEEN(1,19))
</f>
        <v>Portland Mattress Makers</v>
      </c>
      <c r="K163" s="2" t="str">
        <f t="array" ref="K163">INDEX(lists!N:N,RANDBETWEEN(1,6))
</f>
        <v>Portland</v>
      </c>
      <c r="L163" s="2">
        <f t="shared" si="8"/>
        <v>3</v>
      </c>
      <c r="M163" s="2" t="str">
        <f t="array" ref="M163">INDEX(lists!O:O,RANDBETWEEN(1,2))
</f>
        <v>Delivery</v>
      </c>
      <c r="N163" s="2">
        <f t="shared" si="9"/>
        <v>5</v>
      </c>
    </row>
    <row r="164">
      <c r="A164" s="2">
        <f t="shared" si="1"/>
        <v>163</v>
      </c>
      <c r="B164" s="3">
        <f t="shared" si="2"/>
        <v>45398</v>
      </c>
      <c r="C164" s="3">
        <f t="shared" si="3"/>
        <v>45401</v>
      </c>
      <c r="D164" s="3" t="str">
        <f t="shared" si="4"/>
        <v>Completed</v>
      </c>
      <c r="E164" s="2">
        <f t="shared" si="5"/>
        <v>3</v>
      </c>
      <c r="F164" s="2" t="str">
        <f t="array" ref="F164">INDEX(lists!F:F,RANDBETWEEN(1,6))
</f>
        <v>Kitchen</v>
      </c>
      <c r="G164" s="2" t="str">
        <f t="array" ref="G164">IFS(
F164="Bedroom",INDEX(lists!G:G,RANDBETWEEN(1,4)),
F164="Living Room",INDEX(lists!H:H,RANDBETWEEN(1,4)),
F164="Dining",INDEX(lists!I:I,RANDBETWEEN(1,2)),
F164="Kitchen",INDEX(lists!J:J,RANDBETWEEN(1,4)),
F164="Office",INDEX(lists!K:K,RANDBETWEEN(1,3)),
F164="Household Essentials",INDEX(lists!L:L,RANDBETWEEN(1,3))
)
</f>
        <v>Microwave</v>
      </c>
      <c r="H164" s="2">
        <f t="shared" si="6"/>
        <v>4</v>
      </c>
      <c r="I164" s="2">
        <f t="shared" si="7"/>
        <v>3</v>
      </c>
      <c r="J164" s="2" t="str">
        <f t="array" ref="J164">INDEX(lists!A:A,RANDBETWEEN(1,19))
</f>
        <v>Keybank</v>
      </c>
      <c r="K164" s="2" t="str">
        <f t="array" ref="K164">INDEX(lists!N:N,RANDBETWEEN(1,6))
</f>
        <v>Scarborough</v>
      </c>
      <c r="L164" s="2">
        <f t="shared" si="8"/>
        <v>3</v>
      </c>
      <c r="M164" s="2" t="str">
        <f t="array" ref="M164">INDEX(lists!O:O,RANDBETWEEN(1,2))
</f>
        <v>Pickup</v>
      </c>
      <c r="N164" s="2">
        <f t="shared" si="9"/>
        <v>5</v>
      </c>
    </row>
    <row r="165">
      <c r="A165" s="2">
        <f t="shared" si="1"/>
        <v>164</v>
      </c>
      <c r="B165" s="3">
        <f t="shared" si="2"/>
        <v>45346</v>
      </c>
      <c r="C165" s="3">
        <f t="shared" si="3"/>
        <v>45351</v>
      </c>
      <c r="D165" s="3" t="str">
        <f t="shared" si="4"/>
        <v>Completed</v>
      </c>
      <c r="E165" s="2">
        <f t="shared" si="5"/>
        <v>5</v>
      </c>
      <c r="F165" s="2" t="str">
        <f t="array" ref="F165">INDEX(lists!F:F,RANDBETWEEN(1,6))
</f>
        <v>Living Room</v>
      </c>
      <c r="G165" s="2" t="str">
        <f t="array" ref="G165">IFS(
F165="Bedroom",INDEX(lists!G:G,RANDBETWEEN(1,4)),
F165="Living Room",INDEX(lists!H:H,RANDBETWEEN(1,4)),
F165="Dining",INDEX(lists!I:I,RANDBETWEEN(1,2)),
F165="Kitchen",INDEX(lists!J:J,RANDBETWEEN(1,4)),
F165="Office",INDEX(lists!K:K,RANDBETWEEN(1,3)),
F165="Household Essentials",INDEX(lists!L:L,RANDBETWEEN(1,3))
)
</f>
        <v>Armchair</v>
      </c>
      <c r="H165" s="2">
        <f t="shared" si="6"/>
        <v>1</v>
      </c>
      <c r="I165" s="2">
        <f t="shared" si="7"/>
        <v>1</v>
      </c>
      <c r="J165" s="2" t="str">
        <f t="array" ref="J165">INDEX(lists!A:A,RANDBETWEEN(1,19))
</f>
        <v>Center for Real Estate Studies</v>
      </c>
      <c r="K165" s="2" t="str">
        <f t="array" ref="K165">INDEX(lists!N:N,RANDBETWEEN(1,6))
</f>
        <v>South Portland</v>
      </c>
      <c r="L165" s="2">
        <f t="shared" si="8"/>
        <v>3</v>
      </c>
      <c r="M165" s="2" t="str">
        <f t="array" ref="M165">INDEX(lists!O:O,RANDBETWEEN(1,2))
</f>
        <v>Delivery</v>
      </c>
      <c r="N165" s="2">
        <f t="shared" si="9"/>
        <v>5</v>
      </c>
    </row>
    <row r="166">
      <c r="A166" s="2">
        <f t="shared" si="1"/>
        <v>165</v>
      </c>
      <c r="B166" s="3">
        <f t="shared" si="2"/>
        <v>45748</v>
      </c>
      <c r="C166" s="3">
        <f t="shared" si="3"/>
        <v>45756</v>
      </c>
      <c r="D166" s="3" t="str">
        <f t="shared" si="4"/>
        <v>Completed</v>
      </c>
      <c r="E166" s="2">
        <f t="shared" si="5"/>
        <v>8</v>
      </c>
      <c r="F166" s="2" t="str">
        <f t="array" ref="F166">INDEX(lists!F:F,RANDBETWEEN(1,6))
</f>
        <v>Kitchen</v>
      </c>
      <c r="G166" s="2" t="str">
        <f t="array" ref="G166">IFS(
F166="Bedroom",INDEX(lists!G:G,RANDBETWEEN(1,4)),
F166="Living Room",INDEX(lists!H:H,RANDBETWEEN(1,4)),
F166="Dining",INDEX(lists!I:I,RANDBETWEEN(1,2)),
F166="Kitchen",INDEX(lists!J:J,RANDBETWEEN(1,4)),
F166="Office",INDEX(lists!K:K,RANDBETWEEN(1,3)),
F166="Household Essentials",INDEX(lists!L:L,RANDBETWEEN(1,3))
)
</f>
        <v>Small Appliances</v>
      </c>
      <c r="H166" s="2">
        <f t="shared" si="6"/>
        <v>2</v>
      </c>
      <c r="I166" s="2">
        <f t="shared" si="7"/>
        <v>2</v>
      </c>
      <c r="J166" s="2" t="str">
        <f t="array" ref="J166">INDEX(lists!A:A,RANDBETWEEN(1,19))
</f>
        <v>Jordan's Furniture</v>
      </c>
      <c r="K166" s="2" t="str">
        <f t="array" ref="K166">INDEX(lists!N:N,RANDBETWEEN(1,6))
</f>
        <v>Portland</v>
      </c>
      <c r="L166" s="2">
        <f t="shared" si="8"/>
        <v>1</v>
      </c>
      <c r="M166" s="2" t="str">
        <f t="array" ref="M166">INDEX(lists!O:O,RANDBETWEEN(1,2))
</f>
        <v>Delivery</v>
      </c>
      <c r="N166" s="2">
        <f t="shared" si="9"/>
        <v>2</v>
      </c>
    </row>
    <row r="167">
      <c r="A167" s="2">
        <f t="shared" si="1"/>
        <v>166</v>
      </c>
      <c r="B167" s="3">
        <f t="shared" si="2"/>
        <v>45711</v>
      </c>
      <c r="C167" s="3" t="str">
        <f t="shared" si="3"/>
        <v/>
      </c>
      <c r="D167" s="3" t="str">
        <f t="shared" si="4"/>
        <v>Cancelled</v>
      </c>
      <c r="E167" s="2" t="str">
        <f t="shared" si="5"/>
        <v/>
      </c>
      <c r="F167" s="2" t="str">
        <f t="array" ref="F167">INDEX(lists!F:F,RANDBETWEEN(1,6))
</f>
        <v>Office</v>
      </c>
      <c r="G167" s="2" t="str">
        <f t="array" ref="G167">IFS(
F167="Bedroom",INDEX(lists!G:G,RANDBETWEEN(1,4)),
F167="Living Room",INDEX(lists!H:H,RANDBETWEEN(1,4)),
F167="Dining",INDEX(lists!I:I,RANDBETWEEN(1,2)),
F167="Kitchen",INDEX(lists!J:J,RANDBETWEEN(1,4)),
F167="Office",INDEX(lists!K:K,RANDBETWEEN(1,3)),
F167="Household Essentials",INDEX(lists!L:L,RANDBETWEEN(1,3))
)
</f>
        <v>Office Chair</v>
      </c>
      <c r="H167" s="2">
        <f t="shared" si="6"/>
        <v>3</v>
      </c>
      <c r="I167" s="2" t="str">
        <f t="shared" si="7"/>
        <v/>
      </c>
      <c r="J167" s="2" t="str">
        <f t="array" ref="J167">INDEX(lists!A:A,RANDBETWEEN(1,19))
</f>
        <v>Shutterbugs 4 Charity</v>
      </c>
      <c r="K167" s="2" t="str">
        <f t="array" ref="K167">INDEX(lists!N:N,RANDBETWEEN(1,6))
</f>
        <v>Scarborough</v>
      </c>
      <c r="L167" s="2">
        <f t="shared" si="8"/>
        <v>4</v>
      </c>
      <c r="M167" s="2" t="str">
        <f t="array" ref="M167">INDEX(lists!O:O,RANDBETWEEN(1,2))
</f>
        <v>Delivery</v>
      </c>
      <c r="N167" s="2">
        <f t="shared" si="9"/>
        <v>1</v>
      </c>
    </row>
    <row r="168">
      <c r="A168" s="2">
        <f t="shared" si="1"/>
        <v>167</v>
      </c>
      <c r="B168" s="3">
        <f t="shared" si="2"/>
        <v>45704</v>
      </c>
      <c r="C168" s="3" t="str">
        <f t="shared" si="3"/>
        <v/>
      </c>
      <c r="D168" s="3" t="str">
        <f t="shared" si="4"/>
        <v>Pending</v>
      </c>
      <c r="E168" s="2" t="str">
        <f t="shared" si="5"/>
        <v/>
      </c>
      <c r="F168" s="2" t="str">
        <f t="array" ref="F168">INDEX(lists!F:F,RANDBETWEEN(1,6))
</f>
        <v>Living Room</v>
      </c>
      <c r="G168" s="2" t="str">
        <f t="array" ref="G168">IFS(
F168="Bedroom",INDEX(lists!G:G,RANDBETWEEN(1,4)),
F168="Living Room",INDEX(lists!H:H,RANDBETWEEN(1,4)),
F168="Dining",INDEX(lists!I:I,RANDBETWEEN(1,2)),
F168="Kitchen",INDEX(lists!J:J,RANDBETWEEN(1,4)),
F168="Office",INDEX(lists!K:K,RANDBETWEEN(1,3)),
F168="Household Essentials",INDEX(lists!L:L,RANDBETWEEN(1,3))
)
</f>
        <v>Sofa</v>
      </c>
      <c r="H168" s="2">
        <f t="shared" si="6"/>
        <v>3</v>
      </c>
      <c r="I168" s="2" t="str">
        <f t="shared" si="7"/>
        <v/>
      </c>
      <c r="J168" s="2" t="str">
        <f t="array" ref="J168">INDEX(lists!A:A,RANDBETWEEN(1,19))
</f>
        <v>Diversified</v>
      </c>
      <c r="K168" s="2" t="str">
        <f t="array" ref="K168">INDEX(lists!N:N,RANDBETWEEN(1,6))
</f>
        <v>South Portland</v>
      </c>
      <c r="L168" s="2">
        <f t="shared" si="8"/>
        <v>3</v>
      </c>
      <c r="M168" s="2" t="str">
        <f t="array" ref="M168">INDEX(lists!O:O,RANDBETWEEN(1,2))
</f>
        <v>Pickup</v>
      </c>
      <c r="N168" s="2">
        <f t="shared" si="9"/>
        <v>2</v>
      </c>
    </row>
    <row r="169">
      <c r="A169" s="2">
        <f t="shared" si="1"/>
        <v>168</v>
      </c>
      <c r="B169" s="3">
        <f t="shared" si="2"/>
        <v>45709</v>
      </c>
      <c r="C169" s="3">
        <f t="shared" si="3"/>
        <v>45710</v>
      </c>
      <c r="D169" s="3" t="str">
        <f t="shared" si="4"/>
        <v>Completed</v>
      </c>
      <c r="E169" s="2">
        <f t="shared" si="5"/>
        <v>1</v>
      </c>
      <c r="F169" s="2" t="str">
        <f t="array" ref="F169">INDEX(lists!F:F,RANDBETWEEN(1,6))
</f>
        <v>Living Room</v>
      </c>
      <c r="G169" s="2" t="str">
        <f t="array" ref="G169">IFS(
F169="Bedroom",INDEX(lists!G:G,RANDBETWEEN(1,4)),
F169="Living Room",INDEX(lists!H:H,RANDBETWEEN(1,4)),
F169="Dining",INDEX(lists!I:I,RANDBETWEEN(1,2)),
F169="Kitchen",INDEX(lists!J:J,RANDBETWEEN(1,4)),
F169="Office",INDEX(lists!K:K,RANDBETWEEN(1,3)),
F169="Household Essentials",INDEX(lists!L:L,RANDBETWEEN(1,3))
)
</f>
        <v>TV Stand</v>
      </c>
      <c r="H169" s="2">
        <f t="shared" si="6"/>
        <v>4</v>
      </c>
      <c r="I169" s="2">
        <f t="shared" si="7"/>
        <v>4</v>
      </c>
      <c r="J169" s="2" t="str">
        <f t="array" ref="J169">INDEX(lists!A:A,RANDBETWEEN(1,19))
</f>
        <v>Spiritual Workers</v>
      </c>
      <c r="K169" s="2" t="str">
        <f t="array" ref="K169">INDEX(lists!N:N,RANDBETWEEN(1,6))
</f>
        <v>Westbrook</v>
      </c>
      <c r="L169" s="2">
        <f t="shared" si="8"/>
        <v>6</v>
      </c>
      <c r="M169" s="2" t="str">
        <f t="array" ref="M169">INDEX(lists!O:O,RANDBETWEEN(1,2))
</f>
        <v>Delivery</v>
      </c>
      <c r="N169" s="2">
        <f t="shared" si="9"/>
        <v>2</v>
      </c>
    </row>
    <row r="170">
      <c r="A170" s="2">
        <f t="shared" si="1"/>
        <v>169</v>
      </c>
      <c r="B170" s="3">
        <f t="shared" si="2"/>
        <v>45341</v>
      </c>
      <c r="C170" s="3">
        <f t="shared" si="3"/>
        <v>45342</v>
      </c>
      <c r="D170" s="3" t="str">
        <f t="shared" si="4"/>
        <v>Completed</v>
      </c>
      <c r="E170" s="2">
        <f t="shared" si="5"/>
        <v>1</v>
      </c>
      <c r="F170" s="2" t="str">
        <f t="array" ref="F170">INDEX(lists!F:F,RANDBETWEEN(1,6))
</f>
        <v>Living Room</v>
      </c>
      <c r="G170" s="2" t="str">
        <f t="array" ref="G170">IFS(
F170="Bedroom",INDEX(lists!G:G,RANDBETWEEN(1,4)),
F170="Living Room",INDEX(lists!H:H,RANDBETWEEN(1,4)),
F170="Dining",INDEX(lists!I:I,RANDBETWEEN(1,2)),
F170="Kitchen",INDEX(lists!J:J,RANDBETWEEN(1,4)),
F170="Office",INDEX(lists!K:K,RANDBETWEEN(1,3)),
F170="Household Essentials",INDEX(lists!L:L,RANDBETWEEN(1,3))
)
</f>
        <v>TV Stand</v>
      </c>
      <c r="H170" s="2">
        <f t="shared" si="6"/>
        <v>3</v>
      </c>
      <c r="I170" s="2">
        <f t="shared" si="7"/>
        <v>2</v>
      </c>
      <c r="J170" s="2" t="str">
        <f t="array" ref="J170">INDEX(lists!A:A,RANDBETWEEN(1,19))
</f>
        <v>Saco &amp; Biddeford Savings</v>
      </c>
      <c r="K170" s="2" t="str">
        <f t="array" ref="K170">INDEX(lists!N:N,RANDBETWEEN(1,6))
</f>
        <v>Falmouth</v>
      </c>
      <c r="L170" s="2">
        <f t="shared" si="8"/>
        <v>5</v>
      </c>
      <c r="M170" s="2" t="str">
        <f t="array" ref="M170">INDEX(lists!O:O,RANDBETWEEN(1,2))
</f>
        <v>Delivery</v>
      </c>
      <c r="N170" s="2">
        <f t="shared" si="9"/>
        <v>2</v>
      </c>
    </row>
    <row r="171">
      <c r="A171" s="2">
        <f t="shared" si="1"/>
        <v>170</v>
      </c>
      <c r="B171" s="3">
        <f t="shared" si="2"/>
        <v>45298</v>
      </c>
      <c r="C171" s="3">
        <f t="shared" si="3"/>
        <v>45310</v>
      </c>
      <c r="D171" s="3" t="str">
        <f t="shared" si="4"/>
        <v>Completed</v>
      </c>
      <c r="E171" s="2">
        <f t="shared" si="5"/>
        <v>12</v>
      </c>
      <c r="F171" s="2" t="str">
        <f t="array" ref="F171">INDEX(lists!F:F,RANDBETWEEN(1,6))
</f>
        <v>Dining</v>
      </c>
      <c r="G171" s="2" t="str">
        <f t="array" ref="G171">IFS(
F171="Bedroom",INDEX(lists!G:G,RANDBETWEEN(1,4)),
F171="Living Room",INDEX(lists!H:H,RANDBETWEEN(1,4)),
F171="Dining",INDEX(lists!I:I,RANDBETWEEN(1,2)),
F171="Kitchen",INDEX(lists!J:J,RANDBETWEEN(1,4)),
F171="Office",INDEX(lists!K:K,RANDBETWEEN(1,3)),
F171="Household Essentials",INDEX(lists!L:L,RANDBETWEEN(1,3))
)
</f>
        <v>Dining Chair</v>
      </c>
      <c r="H171" s="2">
        <f t="shared" si="6"/>
        <v>1</v>
      </c>
      <c r="I171" s="2">
        <f t="shared" si="7"/>
        <v>1</v>
      </c>
      <c r="J171" s="2" t="str">
        <f t="array" ref="J171">INDEX(lists!A:A,RANDBETWEEN(1,19))
</f>
        <v>NewHeight Group</v>
      </c>
      <c r="K171" s="2" t="str">
        <f t="array" ref="K171">INDEX(lists!N:N,RANDBETWEEN(1,6))
</f>
        <v>Scarborough</v>
      </c>
      <c r="L171" s="2">
        <f t="shared" si="8"/>
        <v>3</v>
      </c>
      <c r="M171" s="2" t="str">
        <f t="array" ref="M171">INDEX(lists!O:O,RANDBETWEEN(1,2))
</f>
        <v>Pickup</v>
      </c>
      <c r="N171" s="2">
        <f t="shared" si="9"/>
        <v>4</v>
      </c>
    </row>
    <row r="172">
      <c r="A172" s="2">
        <f t="shared" si="1"/>
        <v>171</v>
      </c>
      <c r="B172" s="3">
        <f t="shared" si="2"/>
        <v>45415</v>
      </c>
      <c r="C172" s="3">
        <f t="shared" si="3"/>
        <v>45427</v>
      </c>
      <c r="D172" s="3" t="str">
        <f t="shared" si="4"/>
        <v>Completed</v>
      </c>
      <c r="E172" s="2">
        <f t="shared" si="5"/>
        <v>12</v>
      </c>
      <c r="F172" s="2" t="str">
        <f t="array" ref="F172">INDEX(lists!F:F,RANDBETWEEN(1,6))
</f>
        <v>Office</v>
      </c>
      <c r="G172" s="2" t="str">
        <f t="array" ref="G172">IFS(
F172="Bedroom",INDEX(lists!G:G,RANDBETWEEN(1,4)),
F172="Living Room",INDEX(lists!H:H,RANDBETWEEN(1,4)),
F172="Dining",INDEX(lists!I:I,RANDBETWEEN(1,2)),
F172="Kitchen",INDEX(lists!J:J,RANDBETWEEN(1,4)),
F172="Office",INDEX(lists!K:K,RANDBETWEEN(1,3)),
F172="Household Essentials",INDEX(lists!L:L,RANDBETWEEN(1,3))
)
</f>
        <v>Bookshelf</v>
      </c>
      <c r="H172" s="2">
        <f t="shared" si="6"/>
        <v>3</v>
      </c>
      <c r="I172" s="2">
        <f t="shared" si="7"/>
        <v>2</v>
      </c>
      <c r="J172" s="2" t="str">
        <f t="array" ref="J172">INDEX(lists!A:A,RANDBETWEEN(1,19))
</f>
        <v>Jordan's Furniture</v>
      </c>
      <c r="K172" s="2" t="str">
        <f t="array" ref="K172">INDEX(lists!N:N,RANDBETWEEN(1,6))
</f>
        <v>Biddeford</v>
      </c>
      <c r="L172" s="2">
        <f t="shared" si="8"/>
        <v>1</v>
      </c>
      <c r="M172" s="2" t="str">
        <f t="array" ref="M172">INDEX(lists!O:O,RANDBETWEEN(1,2))
</f>
        <v>Pickup</v>
      </c>
      <c r="N172" s="2">
        <f t="shared" si="9"/>
        <v>6</v>
      </c>
    </row>
    <row r="173">
      <c r="A173" s="2">
        <f t="shared" si="1"/>
        <v>172</v>
      </c>
      <c r="B173" s="3">
        <f t="shared" si="2"/>
        <v>45767</v>
      </c>
      <c r="C173" s="3">
        <f t="shared" si="3"/>
        <v>45780</v>
      </c>
      <c r="D173" s="3" t="str">
        <f t="shared" si="4"/>
        <v>Completed</v>
      </c>
      <c r="E173" s="2">
        <f t="shared" si="5"/>
        <v>13</v>
      </c>
      <c r="F173" s="2" t="str">
        <f t="array" ref="F173">INDEX(lists!F:F,RANDBETWEEN(1,6))
</f>
        <v>Office</v>
      </c>
      <c r="G173" s="2" t="str">
        <f t="array" ref="G173">IFS(
F173="Bedroom",INDEX(lists!G:G,RANDBETWEEN(1,4)),
F173="Living Room",INDEX(lists!H:H,RANDBETWEEN(1,4)),
F173="Dining",INDEX(lists!I:I,RANDBETWEEN(1,2)),
F173="Kitchen",INDEX(lists!J:J,RANDBETWEEN(1,4)),
F173="Office",INDEX(lists!K:K,RANDBETWEEN(1,3)),
F173="Household Essentials",INDEX(lists!L:L,RANDBETWEEN(1,3))
)
</f>
        <v>Bookshelf</v>
      </c>
      <c r="H173" s="2">
        <f t="shared" si="6"/>
        <v>3</v>
      </c>
      <c r="I173" s="2">
        <f t="shared" si="7"/>
        <v>1</v>
      </c>
      <c r="J173" s="2" t="str">
        <f t="array" ref="J173">INDEX(lists!A:A,RANDBETWEEN(1,19))
</f>
        <v>Center for Real Estate Studies</v>
      </c>
      <c r="K173" s="2" t="str">
        <f t="array" ref="K173">INDEX(lists!N:N,RANDBETWEEN(1,6))
</f>
        <v>Falmouth</v>
      </c>
      <c r="L173" s="2">
        <f t="shared" si="8"/>
        <v>3</v>
      </c>
      <c r="M173" s="2" t="str">
        <f t="array" ref="M173">INDEX(lists!O:O,RANDBETWEEN(1,2))
</f>
        <v>Pickup</v>
      </c>
      <c r="N173" s="2">
        <f t="shared" si="9"/>
        <v>1</v>
      </c>
    </row>
    <row r="174">
      <c r="A174" s="2">
        <f t="shared" si="1"/>
        <v>173</v>
      </c>
      <c r="B174" s="3">
        <f t="shared" si="2"/>
        <v>45367</v>
      </c>
      <c r="C174" s="3" t="str">
        <f t="shared" si="3"/>
        <v/>
      </c>
      <c r="D174" s="3" t="str">
        <f t="shared" si="4"/>
        <v>Cancelled</v>
      </c>
      <c r="E174" s="2" t="str">
        <f t="shared" si="5"/>
        <v/>
      </c>
      <c r="F174" s="2" t="str">
        <f t="array" ref="F174">INDEX(lists!F:F,RANDBETWEEN(1,6))
</f>
        <v>Living Room</v>
      </c>
      <c r="G174" s="2" t="str">
        <f t="array" ref="G174">IFS(
F174="Bedroom",INDEX(lists!G:G,RANDBETWEEN(1,4)),
F174="Living Room",INDEX(lists!H:H,RANDBETWEEN(1,4)),
F174="Dining",INDEX(lists!I:I,RANDBETWEEN(1,2)),
F174="Kitchen",INDEX(lists!J:J,RANDBETWEEN(1,4)),
F174="Office",INDEX(lists!K:K,RANDBETWEEN(1,3)),
F174="Household Essentials",INDEX(lists!L:L,RANDBETWEEN(1,3))
)
</f>
        <v>Armchair</v>
      </c>
      <c r="H174" s="2">
        <f t="shared" si="6"/>
        <v>1</v>
      </c>
      <c r="I174" s="2" t="str">
        <f t="shared" si="7"/>
        <v/>
      </c>
      <c r="J174" s="2" t="str">
        <f t="array" ref="J174">INDEX(lists!A:A,RANDBETWEEN(1,19))
</f>
        <v>Portland Harbor Group Raymond James</v>
      </c>
      <c r="K174" s="2" t="str">
        <f t="array" ref="K174">INDEX(lists!N:N,RANDBETWEEN(1,6))
</f>
        <v>Westbrook</v>
      </c>
      <c r="L174" s="2">
        <f t="shared" si="8"/>
        <v>1</v>
      </c>
      <c r="M174" s="2" t="str">
        <f t="array" ref="M174">INDEX(lists!O:O,RANDBETWEEN(1,2))
</f>
        <v>Delivery</v>
      </c>
      <c r="N174" s="2">
        <f t="shared" si="9"/>
        <v>2</v>
      </c>
    </row>
    <row r="175">
      <c r="A175" s="2">
        <f t="shared" si="1"/>
        <v>174</v>
      </c>
      <c r="B175" s="3">
        <f t="shared" si="2"/>
        <v>45532</v>
      </c>
      <c r="C175" s="3">
        <f t="shared" si="3"/>
        <v>45539</v>
      </c>
      <c r="D175" s="3" t="str">
        <f t="shared" si="4"/>
        <v>Completed</v>
      </c>
      <c r="E175" s="2">
        <f t="shared" si="5"/>
        <v>7</v>
      </c>
      <c r="F175" s="2" t="str">
        <f t="array" ref="F175">INDEX(lists!F:F,RANDBETWEEN(1,6))
</f>
        <v>Household Essentials</v>
      </c>
      <c r="G175" s="2" t="str">
        <f t="array" ref="G175">IFS(
F175="Bedroom",INDEX(lists!G:G,RANDBETWEEN(1,4)),
F175="Living Room",INDEX(lists!H:H,RANDBETWEEN(1,4)),
F175="Dining",INDEX(lists!I:I,RANDBETWEEN(1,2)),
F175="Kitchen",INDEX(lists!J:J,RANDBETWEEN(1,4)),
F175="Office",INDEX(lists!K:K,RANDBETWEEN(1,3)),
F175="Household Essentials",INDEX(lists!L:L,RANDBETWEEN(1,3))
)
</f>
        <v>Lamps</v>
      </c>
      <c r="H175" s="2">
        <f t="shared" si="6"/>
        <v>3</v>
      </c>
      <c r="I175" s="2">
        <f t="shared" si="7"/>
        <v>2</v>
      </c>
      <c r="J175" s="2" t="str">
        <f t="array" ref="J175">INDEX(lists!A:A,RANDBETWEEN(1,19))
</f>
        <v>Portland Mattress Makers</v>
      </c>
      <c r="K175" s="2" t="str">
        <f t="array" ref="K175">INDEX(lists!N:N,RANDBETWEEN(1,6))
</f>
        <v>Biddeford</v>
      </c>
      <c r="L175" s="2">
        <f t="shared" si="8"/>
        <v>3</v>
      </c>
      <c r="M175" s="2" t="str">
        <f t="array" ref="M175">INDEX(lists!O:O,RANDBETWEEN(1,2))
</f>
        <v>Pickup</v>
      </c>
      <c r="N175" s="2">
        <f t="shared" si="9"/>
        <v>2</v>
      </c>
    </row>
    <row r="176">
      <c r="A176" s="2">
        <f t="shared" si="1"/>
        <v>175</v>
      </c>
      <c r="B176" s="3">
        <f t="shared" si="2"/>
        <v>45813</v>
      </c>
      <c r="C176" s="3" t="str">
        <f t="shared" si="3"/>
        <v/>
      </c>
      <c r="D176" s="3" t="str">
        <f t="shared" si="4"/>
        <v>Pending</v>
      </c>
      <c r="E176" s="2" t="str">
        <f t="shared" si="5"/>
        <v/>
      </c>
      <c r="F176" s="2" t="str">
        <f t="array" ref="F176">INDEX(lists!F:F,RANDBETWEEN(1,6))
</f>
        <v>Dining</v>
      </c>
      <c r="G176" s="2" t="str">
        <f t="array" ref="G176">IFS(
F176="Bedroom",INDEX(lists!G:G,RANDBETWEEN(1,4)),
F176="Living Room",INDEX(lists!H:H,RANDBETWEEN(1,4)),
F176="Dining",INDEX(lists!I:I,RANDBETWEEN(1,2)),
F176="Kitchen",INDEX(lists!J:J,RANDBETWEEN(1,4)),
F176="Office",INDEX(lists!K:K,RANDBETWEEN(1,3)),
F176="Household Essentials",INDEX(lists!L:L,RANDBETWEEN(1,3))
)
</f>
        <v>Dining Table</v>
      </c>
      <c r="H176" s="2">
        <f t="shared" si="6"/>
        <v>3</v>
      </c>
      <c r="I176" s="2" t="str">
        <f t="shared" si="7"/>
        <v/>
      </c>
      <c r="J176" s="2" t="str">
        <f t="array" ref="J176">INDEX(lists!A:A,RANDBETWEEN(1,19))
</f>
        <v>Portland Mattress Makers</v>
      </c>
      <c r="K176" s="2" t="str">
        <f t="array" ref="K176">INDEX(lists!N:N,RANDBETWEEN(1,6))
</f>
        <v>South Portland</v>
      </c>
      <c r="L176" s="2">
        <f t="shared" si="8"/>
        <v>3</v>
      </c>
      <c r="M176" s="2" t="str">
        <f t="array" ref="M176">INDEX(lists!O:O,RANDBETWEEN(1,2))
</f>
        <v>Pickup</v>
      </c>
      <c r="N176" s="2">
        <f t="shared" si="9"/>
        <v>3</v>
      </c>
    </row>
    <row r="177">
      <c r="A177" s="2">
        <f t="shared" si="1"/>
        <v>176</v>
      </c>
      <c r="B177" s="3">
        <f t="shared" si="2"/>
        <v>45748</v>
      </c>
      <c r="C177" s="3">
        <f t="shared" si="3"/>
        <v>45754</v>
      </c>
      <c r="D177" s="3" t="str">
        <f t="shared" si="4"/>
        <v>Completed</v>
      </c>
      <c r="E177" s="2">
        <f t="shared" si="5"/>
        <v>6</v>
      </c>
      <c r="F177" s="2" t="str">
        <f t="array" ref="F177">INDEX(lists!F:F,RANDBETWEEN(1,6))
</f>
        <v>Office</v>
      </c>
      <c r="G177" s="2" t="str">
        <f t="array" ref="G177">IFS(
F177="Bedroom",INDEX(lists!G:G,RANDBETWEEN(1,4)),
F177="Living Room",INDEX(lists!H:H,RANDBETWEEN(1,4)),
F177="Dining",INDEX(lists!I:I,RANDBETWEEN(1,2)),
F177="Kitchen",INDEX(lists!J:J,RANDBETWEEN(1,4)),
F177="Office",INDEX(lists!K:K,RANDBETWEEN(1,3)),
F177="Household Essentials",INDEX(lists!L:L,RANDBETWEEN(1,3))
)
</f>
        <v>Desk</v>
      </c>
      <c r="H177" s="2">
        <f t="shared" si="6"/>
        <v>2</v>
      </c>
      <c r="I177" s="2">
        <f t="shared" si="7"/>
        <v>1</v>
      </c>
      <c r="J177" s="2" t="str">
        <f t="array" ref="J177">INDEX(lists!A:A,RANDBETWEEN(1,19))
</f>
        <v>Keybank</v>
      </c>
      <c r="K177" s="2" t="str">
        <f t="array" ref="K177">INDEX(lists!N:N,RANDBETWEEN(1,6))
</f>
        <v>South Portland</v>
      </c>
      <c r="L177" s="2">
        <f t="shared" si="8"/>
        <v>2</v>
      </c>
      <c r="M177" s="2" t="str">
        <f t="array" ref="M177">INDEX(lists!O:O,RANDBETWEEN(1,2))
</f>
        <v>Pickup</v>
      </c>
      <c r="N177" s="2">
        <f t="shared" si="9"/>
        <v>5</v>
      </c>
    </row>
    <row r="178">
      <c r="A178" s="2">
        <f t="shared" si="1"/>
        <v>177</v>
      </c>
      <c r="B178" s="3">
        <f t="shared" si="2"/>
        <v>45794</v>
      </c>
      <c r="C178" s="3">
        <f t="shared" si="3"/>
        <v>45801</v>
      </c>
      <c r="D178" s="3" t="str">
        <f t="shared" si="4"/>
        <v>Completed</v>
      </c>
      <c r="E178" s="2">
        <f t="shared" si="5"/>
        <v>7</v>
      </c>
      <c r="F178" s="2" t="str">
        <f t="array" ref="F178">INDEX(lists!F:F,RANDBETWEEN(1,6))
</f>
        <v>Living Room</v>
      </c>
      <c r="G178" s="2" t="str">
        <f t="array" ref="G178">IFS(
F178="Bedroom",INDEX(lists!G:G,RANDBETWEEN(1,4)),
F178="Living Room",INDEX(lists!H:H,RANDBETWEEN(1,4)),
F178="Dining",INDEX(lists!I:I,RANDBETWEEN(1,2)),
F178="Kitchen",INDEX(lists!J:J,RANDBETWEEN(1,4)),
F178="Office",INDEX(lists!K:K,RANDBETWEEN(1,3)),
F178="Household Essentials",INDEX(lists!L:L,RANDBETWEEN(1,3))
)
</f>
        <v>TV Stand</v>
      </c>
      <c r="H178" s="2">
        <f t="shared" si="6"/>
        <v>4</v>
      </c>
      <c r="I178" s="2">
        <f t="shared" si="7"/>
        <v>2</v>
      </c>
      <c r="J178" s="2" t="str">
        <f t="array" ref="J178">INDEX(lists!A:A,RANDBETWEEN(1,19))
</f>
        <v>Coffee By Design</v>
      </c>
      <c r="K178" s="2" t="str">
        <f t="array" ref="K178">INDEX(lists!N:N,RANDBETWEEN(1,6))
</f>
        <v>South Portland</v>
      </c>
      <c r="L178" s="2">
        <f t="shared" si="8"/>
        <v>1</v>
      </c>
      <c r="M178" s="2" t="str">
        <f t="array" ref="M178">INDEX(lists!O:O,RANDBETWEEN(1,2))
</f>
        <v>Delivery</v>
      </c>
      <c r="N178" s="2">
        <f t="shared" si="9"/>
        <v>3</v>
      </c>
    </row>
    <row r="179">
      <c r="A179" s="2">
        <f t="shared" si="1"/>
        <v>178</v>
      </c>
      <c r="B179" s="3">
        <f t="shared" si="2"/>
        <v>45601</v>
      </c>
      <c r="C179" s="3">
        <f t="shared" si="3"/>
        <v>45602</v>
      </c>
      <c r="D179" s="3" t="str">
        <f t="shared" si="4"/>
        <v>Completed</v>
      </c>
      <c r="E179" s="2">
        <f t="shared" si="5"/>
        <v>1</v>
      </c>
      <c r="F179" s="2" t="str">
        <f t="array" ref="F179">INDEX(lists!F:F,RANDBETWEEN(1,6))
</f>
        <v>Household Essentials</v>
      </c>
      <c r="G179" s="2" t="str">
        <f t="array" ref="G179">IFS(
F179="Bedroom",INDEX(lists!G:G,RANDBETWEEN(1,4)),
F179="Living Room",INDEX(lists!H:H,RANDBETWEEN(1,4)),
F179="Dining",INDEX(lists!I:I,RANDBETWEEN(1,2)),
F179="Kitchen",INDEX(lists!J:J,RANDBETWEEN(1,4)),
F179="Office",INDEX(lists!K:K,RANDBETWEEN(1,3)),
F179="Household Essentials",INDEX(lists!L:L,RANDBETWEEN(1,3))
)
</f>
        <v>Lamps</v>
      </c>
      <c r="H179" s="2">
        <f t="shared" si="6"/>
        <v>2</v>
      </c>
      <c r="I179" s="2">
        <f t="shared" si="7"/>
        <v>1</v>
      </c>
      <c r="J179" s="2" t="str">
        <f t="array" ref="J179">INDEX(lists!A:A,RANDBETWEEN(1,19))
</f>
        <v>Keybank</v>
      </c>
      <c r="K179" s="2" t="str">
        <f t="array" ref="K179">INDEX(lists!N:N,RANDBETWEEN(1,6))
</f>
        <v>Biddeford</v>
      </c>
      <c r="L179" s="2">
        <f t="shared" si="8"/>
        <v>6</v>
      </c>
      <c r="M179" s="2" t="str">
        <f t="array" ref="M179">INDEX(lists!O:O,RANDBETWEEN(1,2))
</f>
        <v>Pickup</v>
      </c>
      <c r="N179" s="2">
        <f t="shared" si="9"/>
        <v>3</v>
      </c>
    </row>
    <row r="180">
      <c r="A180" s="2">
        <f t="shared" si="1"/>
        <v>179</v>
      </c>
      <c r="B180" s="3">
        <f t="shared" si="2"/>
        <v>45396</v>
      </c>
      <c r="C180" s="3">
        <f t="shared" si="3"/>
        <v>45405</v>
      </c>
      <c r="D180" s="3" t="str">
        <f t="shared" si="4"/>
        <v>Completed</v>
      </c>
      <c r="E180" s="2">
        <f t="shared" si="5"/>
        <v>9</v>
      </c>
      <c r="F180" s="2" t="str">
        <f t="array" ref="F180">INDEX(lists!F:F,RANDBETWEEN(1,6))
</f>
        <v>Kitchen</v>
      </c>
      <c r="G180" s="2" t="str">
        <f t="array" ref="G180">IFS(
F180="Bedroom",INDEX(lists!G:G,RANDBETWEEN(1,4)),
F180="Living Room",INDEX(lists!H:H,RANDBETWEEN(1,4)),
F180="Dining",INDEX(lists!I:I,RANDBETWEEN(1,2)),
F180="Kitchen",INDEX(lists!J:J,RANDBETWEEN(1,4)),
F180="Office",INDEX(lists!K:K,RANDBETWEEN(1,3)),
F180="Household Essentials",INDEX(lists!L:L,RANDBETWEEN(1,3))
)
</f>
        <v>Pots &amp; Pans</v>
      </c>
      <c r="H180" s="2">
        <f t="shared" si="6"/>
        <v>2</v>
      </c>
      <c r="I180" s="2">
        <f t="shared" si="7"/>
        <v>1</v>
      </c>
      <c r="J180" s="2" t="str">
        <f t="array" ref="J180">INDEX(lists!A:A,RANDBETWEEN(1,19))
</f>
        <v>Keybank</v>
      </c>
      <c r="K180" s="2" t="str">
        <f t="array" ref="K180">INDEX(lists!N:N,RANDBETWEEN(1,6))
</f>
        <v>Falmouth</v>
      </c>
      <c r="L180" s="2">
        <f t="shared" si="8"/>
        <v>5</v>
      </c>
      <c r="M180" s="2" t="str">
        <f t="array" ref="M180">INDEX(lists!O:O,RANDBETWEEN(1,2))
</f>
        <v>Delivery</v>
      </c>
      <c r="N180" s="2">
        <f t="shared" si="9"/>
        <v>5</v>
      </c>
    </row>
    <row r="181">
      <c r="A181" s="2">
        <f t="shared" si="1"/>
        <v>180</v>
      </c>
      <c r="B181" s="3">
        <f t="shared" si="2"/>
        <v>45789</v>
      </c>
      <c r="C181" s="3" t="str">
        <f t="shared" si="3"/>
        <v/>
      </c>
      <c r="D181" s="3" t="str">
        <f t="shared" si="4"/>
        <v>Cancelled</v>
      </c>
      <c r="E181" s="2" t="str">
        <f t="shared" si="5"/>
        <v/>
      </c>
      <c r="F181" s="2" t="str">
        <f t="array" ref="F181">INDEX(lists!F:F,RANDBETWEEN(1,6))
</f>
        <v>Office</v>
      </c>
      <c r="G181" s="2" t="str">
        <f t="array" ref="G181">IFS(
F181="Bedroom",INDEX(lists!G:G,RANDBETWEEN(1,4)),
F181="Living Room",INDEX(lists!H:H,RANDBETWEEN(1,4)),
F181="Dining",INDEX(lists!I:I,RANDBETWEEN(1,2)),
F181="Kitchen",INDEX(lists!J:J,RANDBETWEEN(1,4)),
F181="Office",INDEX(lists!K:K,RANDBETWEEN(1,3)),
F181="Household Essentials",INDEX(lists!L:L,RANDBETWEEN(1,3))
)
</f>
        <v>Office Chair</v>
      </c>
      <c r="H181" s="2">
        <f t="shared" si="6"/>
        <v>3</v>
      </c>
      <c r="I181" s="2" t="str">
        <f t="shared" si="7"/>
        <v/>
      </c>
      <c r="J181" s="2" t="str">
        <f t="array" ref="J181">INDEX(lists!A:A,RANDBETWEEN(1,19))
</f>
        <v>J.B Brown and Sons</v>
      </c>
      <c r="K181" s="2" t="str">
        <f t="array" ref="K181">INDEX(lists!N:N,RANDBETWEEN(1,6))
</f>
        <v>Biddeford</v>
      </c>
      <c r="L181" s="2">
        <f t="shared" si="8"/>
        <v>6</v>
      </c>
      <c r="M181" s="2" t="str">
        <f t="array" ref="M181">INDEX(lists!O:O,RANDBETWEEN(1,2))
</f>
        <v>Pickup</v>
      </c>
      <c r="N181" s="2">
        <f t="shared" si="9"/>
        <v>6</v>
      </c>
    </row>
    <row r="182">
      <c r="A182" s="2">
        <f t="shared" si="1"/>
        <v>181</v>
      </c>
      <c r="B182" s="3">
        <f t="shared" si="2"/>
        <v>45563</v>
      </c>
      <c r="C182" s="3">
        <f t="shared" si="3"/>
        <v>45574</v>
      </c>
      <c r="D182" s="3" t="str">
        <f t="shared" si="4"/>
        <v>Completed</v>
      </c>
      <c r="E182" s="2">
        <f t="shared" si="5"/>
        <v>11</v>
      </c>
      <c r="F182" s="2" t="str">
        <f t="array" ref="F182">INDEX(lists!F:F,RANDBETWEEN(1,6))
</f>
        <v>Office</v>
      </c>
      <c r="G182" s="2" t="str">
        <f t="array" ref="G182">IFS(
F182="Bedroom",INDEX(lists!G:G,RANDBETWEEN(1,4)),
F182="Living Room",INDEX(lists!H:H,RANDBETWEEN(1,4)),
F182="Dining",INDEX(lists!I:I,RANDBETWEEN(1,2)),
F182="Kitchen",INDEX(lists!J:J,RANDBETWEEN(1,4)),
F182="Office",INDEX(lists!K:K,RANDBETWEEN(1,3)),
F182="Household Essentials",INDEX(lists!L:L,RANDBETWEEN(1,3))
)
</f>
        <v>Desk</v>
      </c>
      <c r="H182" s="2">
        <f t="shared" si="6"/>
        <v>2</v>
      </c>
      <c r="I182" s="2">
        <f t="shared" si="7"/>
        <v>2</v>
      </c>
      <c r="J182" s="2" t="str">
        <f t="array" ref="J182">INDEX(lists!A:A,RANDBETWEEN(1,19))
</f>
        <v>Westbrook Housing</v>
      </c>
      <c r="K182" s="2" t="str">
        <f t="array" ref="K182">INDEX(lists!N:N,RANDBETWEEN(1,6))
</f>
        <v>Portland</v>
      </c>
      <c r="L182" s="2">
        <f t="shared" si="8"/>
        <v>5</v>
      </c>
      <c r="M182" s="2" t="str">
        <f t="array" ref="M182">INDEX(lists!O:O,RANDBETWEEN(1,2))
</f>
        <v>Delivery</v>
      </c>
      <c r="N182" s="2">
        <f t="shared" si="9"/>
        <v>6</v>
      </c>
    </row>
    <row r="183">
      <c r="A183" s="2">
        <f t="shared" si="1"/>
        <v>182</v>
      </c>
      <c r="B183" s="3">
        <f t="shared" si="2"/>
        <v>45335</v>
      </c>
      <c r="C183" s="3">
        <f t="shared" si="3"/>
        <v>45365</v>
      </c>
      <c r="D183" s="3" t="str">
        <f t="shared" si="4"/>
        <v>Completed</v>
      </c>
      <c r="E183" s="2">
        <f t="shared" si="5"/>
        <v>30</v>
      </c>
      <c r="F183" s="2" t="str">
        <f t="array" ref="F183">INDEX(lists!F:F,RANDBETWEEN(1,6))
</f>
        <v>Household Essentials</v>
      </c>
      <c r="G183" s="2" t="str">
        <f t="array" ref="G183">IFS(
F183="Bedroom",INDEX(lists!G:G,RANDBETWEEN(1,4)),
F183="Living Room",INDEX(lists!H:H,RANDBETWEEN(1,4)),
F183="Dining",INDEX(lists!I:I,RANDBETWEEN(1,2)),
F183="Kitchen",INDEX(lists!J:J,RANDBETWEEN(1,4)),
F183="Office",INDEX(lists!K:K,RANDBETWEEN(1,3)),
F183="Household Essentials",INDEX(lists!L:L,RANDBETWEEN(1,3))
)
</f>
        <v>Lamps</v>
      </c>
      <c r="H183" s="2">
        <f t="shared" si="6"/>
        <v>4</v>
      </c>
      <c r="I183" s="2">
        <f t="shared" si="7"/>
        <v>3</v>
      </c>
      <c r="J183" s="2" t="str">
        <f t="array" ref="J183">INDEX(lists!A:A,RANDBETWEEN(1,19))
</f>
        <v>Diversified</v>
      </c>
      <c r="K183" s="2" t="str">
        <f t="array" ref="K183">INDEX(lists!N:N,RANDBETWEEN(1,6))
</f>
        <v>Biddeford</v>
      </c>
      <c r="L183" s="2">
        <f t="shared" si="8"/>
        <v>1</v>
      </c>
      <c r="M183" s="2" t="str">
        <f t="array" ref="M183">INDEX(lists!O:O,RANDBETWEEN(1,2))
</f>
        <v>Pickup</v>
      </c>
      <c r="N183" s="2">
        <f t="shared" si="9"/>
        <v>5</v>
      </c>
    </row>
    <row r="184">
      <c r="A184" s="2">
        <f t="shared" si="1"/>
        <v>183</v>
      </c>
      <c r="B184" s="3">
        <f t="shared" si="2"/>
        <v>45758</v>
      </c>
      <c r="C184" s="3">
        <f t="shared" si="3"/>
        <v>45802</v>
      </c>
      <c r="D184" s="3" t="str">
        <f t="shared" si="4"/>
        <v>Completed</v>
      </c>
      <c r="E184" s="2">
        <f t="shared" si="5"/>
        <v>44</v>
      </c>
      <c r="F184" s="2" t="str">
        <f t="array" ref="F184">INDEX(lists!F:F,RANDBETWEEN(1,6))
</f>
        <v>Office</v>
      </c>
      <c r="G184" s="2" t="str">
        <f t="array" ref="G184">IFS(
F184="Bedroom",INDEX(lists!G:G,RANDBETWEEN(1,4)),
F184="Living Room",INDEX(lists!H:H,RANDBETWEEN(1,4)),
F184="Dining",INDEX(lists!I:I,RANDBETWEEN(1,2)),
F184="Kitchen",INDEX(lists!J:J,RANDBETWEEN(1,4)),
F184="Office",INDEX(lists!K:K,RANDBETWEEN(1,3)),
F184="Household Essentials",INDEX(lists!L:L,RANDBETWEEN(1,3))
)
</f>
        <v>Desk</v>
      </c>
      <c r="H184" s="2">
        <f t="shared" si="6"/>
        <v>3</v>
      </c>
      <c r="I184" s="2">
        <f t="shared" si="7"/>
        <v>2</v>
      </c>
      <c r="J184" s="2" t="str">
        <f t="array" ref="J184">INDEX(lists!A:A,RANDBETWEEN(1,19))
</f>
        <v>Coffee By Design</v>
      </c>
      <c r="K184" s="2" t="str">
        <f t="array" ref="K184">INDEX(lists!N:N,RANDBETWEEN(1,6))
</f>
        <v>Scarborough</v>
      </c>
      <c r="L184" s="2">
        <f t="shared" si="8"/>
        <v>4</v>
      </c>
      <c r="M184" s="2" t="str">
        <f t="array" ref="M184">INDEX(lists!O:O,RANDBETWEEN(1,2))
</f>
        <v>Delivery</v>
      </c>
      <c r="N184" s="2">
        <f t="shared" si="9"/>
        <v>4</v>
      </c>
    </row>
    <row r="185">
      <c r="A185" s="2">
        <f t="shared" si="1"/>
        <v>184</v>
      </c>
      <c r="B185" s="3">
        <f t="shared" si="2"/>
        <v>45599</v>
      </c>
      <c r="C185" s="3">
        <f t="shared" si="3"/>
        <v>45608</v>
      </c>
      <c r="D185" s="3" t="str">
        <f t="shared" si="4"/>
        <v>Completed</v>
      </c>
      <c r="E185" s="2">
        <f t="shared" si="5"/>
        <v>9</v>
      </c>
      <c r="F185" s="2" t="str">
        <f t="array" ref="F185">INDEX(lists!F:F,RANDBETWEEN(1,6))
</f>
        <v>Bedroom</v>
      </c>
      <c r="G185" s="2" t="str">
        <f t="array" ref="G185">IFS(
F185="Bedroom",INDEX(lists!G:G,RANDBETWEEN(1,4)),
F185="Living Room",INDEX(lists!H:H,RANDBETWEEN(1,4)),
F185="Dining",INDEX(lists!I:I,RANDBETWEEN(1,2)),
F185="Kitchen",INDEX(lists!J:J,RANDBETWEEN(1,4)),
F185="Office",INDEX(lists!K:K,RANDBETWEEN(1,3)),
F185="Household Essentials",INDEX(lists!L:L,RANDBETWEEN(1,3))
)
</f>
        <v>Nightstand</v>
      </c>
      <c r="H185" s="2">
        <f t="shared" si="6"/>
        <v>3</v>
      </c>
      <c r="I185" s="2">
        <f t="shared" si="7"/>
        <v>3</v>
      </c>
      <c r="J185" s="2" t="str">
        <f t="array" ref="J185">INDEX(lists!A:A,RANDBETWEEN(1,19))
</f>
        <v>Systems Engineering</v>
      </c>
      <c r="K185" s="2" t="str">
        <f t="array" ref="K185">INDEX(lists!N:N,RANDBETWEEN(1,6))
</f>
        <v>Falmouth</v>
      </c>
      <c r="L185" s="2">
        <f t="shared" si="8"/>
        <v>1</v>
      </c>
      <c r="M185" s="2" t="str">
        <f t="array" ref="M185">INDEX(lists!O:O,RANDBETWEEN(1,2))
</f>
        <v>Delivery</v>
      </c>
      <c r="N185" s="2">
        <f t="shared" si="9"/>
        <v>2</v>
      </c>
    </row>
    <row r="186">
      <c r="A186" s="2">
        <f t="shared" si="1"/>
        <v>185</v>
      </c>
      <c r="B186" s="3">
        <f t="shared" si="2"/>
        <v>45530</v>
      </c>
      <c r="C186" s="3">
        <f t="shared" si="3"/>
        <v>45531</v>
      </c>
      <c r="D186" s="3" t="str">
        <f t="shared" si="4"/>
        <v>Completed</v>
      </c>
      <c r="E186" s="2">
        <f t="shared" si="5"/>
        <v>1</v>
      </c>
      <c r="F186" s="2" t="str">
        <f t="array" ref="F186">INDEX(lists!F:F,RANDBETWEEN(1,6))
</f>
        <v>Living Room</v>
      </c>
      <c r="G186" s="2" t="str">
        <f t="array" ref="G186">IFS(
F186="Bedroom",INDEX(lists!G:G,RANDBETWEEN(1,4)),
F186="Living Room",INDEX(lists!H:H,RANDBETWEEN(1,4)),
F186="Dining",INDEX(lists!I:I,RANDBETWEEN(1,2)),
F186="Kitchen",INDEX(lists!J:J,RANDBETWEEN(1,4)),
F186="Office",INDEX(lists!K:K,RANDBETWEEN(1,3)),
F186="Household Essentials",INDEX(lists!L:L,RANDBETWEEN(1,3))
)
</f>
        <v>Sofa</v>
      </c>
      <c r="H186" s="2">
        <f t="shared" si="6"/>
        <v>1</v>
      </c>
      <c r="I186" s="2">
        <f t="shared" si="7"/>
        <v>1</v>
      </c>
      <c r="J186" s="2" t="str">
        <f t="array" ref="J186">INDEX(lists!A:A,RANDBETWEEN(1,19))
</f>
        <v>GoGo Refill</v>
      </c>
      <c r="K186" s="2" t="str">
        <f t="array" ref="K186">INDEX(lists!N:N,RANDBETWEEN(1,6))
</f>
        <v>Portland</v>
      </c>
      <c r="L186" s="2">
        <f t="shared" si="8"/>
        <v>5</v>
      </c>
      <c r="M186" s="2" t="str">
        <f t="array" ref="M186">INDEX(lists!O:O,RANDBETWEEN(1,2))
</f>
        <v>Delivery</v>
      </c>
      <c r="N186" s="2">
        <f t="shared" si="9"/>
        <v>4</v>
      </c>
    </row>
    <row r="187">
      <c r="A187" s="2">
        <f t="shared" si="1"/>
        <v>186</v>
      </c>
      <c r="B187" s="3">
        <f t="shared" si="2"/>
        <v>45821</v>
      </c>
      <c r="C187" s="3" t="str">
        <f t="shared" si="3"/>
        <v/>
      </c>
      <c r="D187" s="3" t="str">
        <f t="shared" si="4"/>
        <v>Pending</v>
      </c>
      <c r="E187" s="2" t="str">
        <f t="shared" si="5"/>
        <v/>
      </c>
      <c r="F187" s="2" t="str">
        <f t="array" ref="F187">INDEX(lists!F:F,RANDBETWEEN(1,6))
</f>
        <v>Bedroom</v>
      </c>
      <c r="G187" s="2" t="str">
        <f t="array" ref="G187">IFS(
F187="Bedroom",INDEX(lists!G:G,RANDBETWEEN(1,4)),
F187="Living Room",INDEX(lists!H:H,RANDBETWEEN(1,4)),
F187="Dining",INDEX(lists!I:I,RANDBETWEEN(1,2)),
F187="Kitchen",INDEX(lists!J:J,RANDBETWEEN(1,4)),
F187="Office",INDEX(lists!K:K,RANDBETWEEN(1,3)),
F187="Household Essentials",INDEX(lists!L:L,RANDBETWEEN(1,3))
)
</f>
        <v>Bed Frame</v>
      </c>
      <c r="H187" s="2">
        <f t="shared" si="6"/>
        <v>2</v>
      </c>
      <c r="I187" s="2" t="str">
        <f t="shared" si="7"/>
        <v/>
      </c>
      <c r="J187" s="2" t="str">
        <f t="array" ref="J187">INDEX(lists!A:A,RANDBETWEEN(1,19))
</f>
        <v>Westbrook Housing</v>
      </c>
      <c r="K187" s="2" t="str">
        <f t="array" ref="K187">INDEX(lists!N:N,RANDBETWEEN(1,6))
</f>
        <v>Westbrook</v>
      </c>
      <c r="L187" s="2">
        <f t="shared" si="8"/>
        <v>5</v>
      </c>
      <c r="M187" s="2" t="str">
        <f t="array" ref="M187">INDEX(lists!O:O,RANDBETWEEN(1,2))
</f>
        <v>Delivery</v>
      </c>
      <c r="N187" s="2">
        <f t="shared" si="9"/>
        <v>4</v>
      </c>
    </row>
    <row r="188">
      <c r="A188" s="2">
        <f t="shared" si="1"/>
        <v>187</v>
      </c>
      <c r="B188" s="3">
        <f t="shared" si="2"/>
        <v>45688</v>
      </c>
      <c r="C188" s="3">
        <f t="shared" si="3"/>
        <v>45702</v>
      </c>
      <c r="D188" s="3" t="str">
        <f t="shared" si="4"/>
        <v>Completed</v>
      </c>
      <c r="E188" s="2">
        <f t="shared" si="5"/>
        <v>14</v>
      </c>
      <c r="F188" s="2" t="str">
        <f t="array" ref="F188">INDEX(lists!F:F,RANDBETWEEN(1,6))
</f>
        <v>Household Essentials</v>
      </c>
      <c r="G188" s="2" t="str">
        <f t="array" ref="G188">IFS(
F188="Bedroom",INDEX(lists!G:G,RANDBETWEEN(1,4)),
F188="Living Room",INDEX(lists!H:H,RANDBETWEEN(1,4)),
F188="Dining",INDEX(lists!I:I,RANDBETWEEN(1,2)),
F188="Kitchen",INDEX(lists!J:J,RANDBETWEEN(1,4)),
F188="Office",INDEX(lists!K:K,RANDBETWEEN(1,3)),
F188="Household Essentials",INDEX(lists!L:L,RANDBETWEEN(1,3))
)
</f>
        <v>Rugs</v>
      </c>
      <c r="H188" s="2">
        <f t="shared" si="6"/>
        <v>1</v>
      </c>
      <c r="I188" s="2">
        <f t="shared" si="7"/>
        <v>1</v>
      </c>
      <c r="J188" s="2" t="str">
        <f t="array" ref="J188">INDEX(lists!A:A,RANDBETWEEN(1,19))
</f>
        <v>J.B Brown and Sons</v>
      </c>
      <c r="K188" s="2" t="str">
        <f t="array" ref="K188">INDEX(lists!N:N,RANDBETWEEN(1,6))
</f>
        <v>Biddeford</v>
      </c>
      <c r="L188" s="2">
        <f t="shared" si="8"/>
        <v>3</v>
      </c>
      <c r="M188" s="2" t="str">
        <f t="array" ref="M188">INDEX(lists!O:O,RANDBETWEEN(1,2))
</f>
        <v>Delivery</v>
      </c>
      <c r="N188" s="2">
        <f t="shared" si="9"/>
        <v>2</v>
      </c>
    </row>
    <row r="189">
      <c r="A189" s="2">
        <f t="shared" si="1"/>
        <v>188</v>
      </c>
      <c r="B189" s="3">
        <f t="shared" si="2"/>
        <v>45753</v>
      </c>
      <c r="C189" s="3">
        <f t="shared" si="3"/>
        <v>45764</v>
      </c>
      <c r="D189" s="3" t="str">
        <f t="shared" si="4"/>
        <v>Completed</v>
      </c>
      <c r="E189" s="2">
        <f t="shared" si="5"/>
        <v>11</v>
      </c>
      <c r="F189" s="2" t="str">
        <f t="array" ref="F189">INDEX(lists!F:F,RANDBETWEEN(1,6))
</f>
        <v>Dining</v>
      </c>
      <c r="G189" s="2" t="str">
        <f t="array" ref="G189">IFS(
F189="Bedroom",INDEX(lists!G:G,RANDBETWEEN(1,4)),
F189="Living Room",INDEX(lists!H:H,RANDBETWEEN(1,4)),
F189="Dining",INDEX(lists!I:I,RANDBETWEEN(1,2)),
F189="Kitchen",INDEX(lists!J:J,RANDBETWEEN(1,4)),
F189="Office",INDEX(lists!K:K,RANDBETWEEN(1,3)),
F189="Household Essentials",INDEX(lists!L:L,RANDBETWEEN(1,3))
)
</f>
        <v>Dining Table</v>
      </c>
      <c r="H189" s="2">
        <f t="shared" si="6"/>
        <v>2</v>
      </c>
      <c r="I189" s="2">
        <f t="shared" si="7"/>
        <v>1</v>
      </c>
      <c r="J189" s="2" t="str">
        <f t="array" ref="J189">INDEX(lists!A:A,RANDBETWEEN(1,19))
</f>
        <v>Westbrook Housing</v>
      </c>
      <c r="K189" s="2" t="str">
        <f t="array" ref="K189">INDEX(lists!N:N,RANDBETWEEN(1,6))
</f>
        <v>Biddeford</v>
      </c>
      <c r="L189" s="2">
        <f t="shared" si="8"/>
        <v>6</v>
      </c>
      <c r="M189" s="2" t="str">
        <f t="array" ref="M189">INDEX(lists!O:O,RANDBETWEEN(1,2))
</f>
        <v>Delivery</v>
      </c>
      <c r="N189" s="2">
        <f t="shared" si="9"/>
        <v>2</v>
      </c>
    </row>
    <row r="190">
      <c r="A190" s="2">
        <f t="shared" si="1"/>
        <v>189</v>
      </c>
      <c r="B190" s="3">
        <f t="shared" si="2"/>
        <v>45380</v>
      </c>
      <c r="C190" s="3">
        <f t="shared" si="3"/>
        <v>45382</v>
      </c>
      <c r="D190" s="3" t="str">
        <f t="shared" si="4"/>
        <v>Completed</v>
      </c>
      <c r="E190" s="2">
        <f t="shared" si="5"/>
        <v>2</v>
      </c>
      <c r="F190" s="2" t="str">
        <f t="array" ref="F190">INDEX(lists!F:F,RANDBETWEEN(1,6))
</f>
        <v>Kitchen</v>
      </c>
      <c r="G190" s="2" t="str">
        <f t="array" ref="G190">IFS(
F190="Bedroom",INDEX(lists!G:G,RANDBETWEEN(1,4)),
F190="Living Room",INDEX(lists!H:H,RANDBETWEEN(1,4)),
F190="Dining",INDEX(lists!I:I,RANDBETWEEN(1,2)),
F190="Kitchen",INDEX(lists!J:J,RANDBETWEEN(1,4)),
F190="Office",INDEX(lists!K:K,RANDBETWEEN(1,3)),
F190="Household Essentials",INDEX(lists!L:L,RANDBETWEEN(1,3))
)
</f>
        <v>Dishes</v>
      </c>
      <c r="H190" s="2">
        <f t="shared" si="6"/>
        <v>3</v>
      </c>
      <c r="I190" s="2">
        <f t="shared" si="7"/>
        <v>1</v>
      </c>
      <c r="J190" s="2" t="str">
        <f t="array" ref="J190">INDEX(lists!A:A,RANDBETWEEN(1,19))
</f>
        <v>J.B Brown and Sons</v>
      </c>
      <c r="K190" s="2" t="str">
        <f t="array" ref="K190">INDEX(lists!N:N,RANDBETWEEN(1,6))
</f>
        <v>Westbrook</v>
      </c>
      <c r="L190" s="2">
        <f t="shared" si="8"/>
        <v>2</v>
      </c>
      <c r="M190" s="2" t="str">
        <f t="array" ref="M190">INDEX(lists!O:O,RANDBETWEEN(1,2))
</f>
        <v>Pickup</v>
      </c>
      <c r="N190" s="2">
        <f t="shared" si="9"/>
        <v>5</v>
      </c>
    </row>
    <row r="191">
      <c r="A191" s="2">
        <f t="shared" si="1"/>
        <v>190</v>
      </c>
      <c r="B191" s="3">
        <f t="shared" si="2"/>
        <v>45777</v>
      </c>
      <c r="C191" s="3">
        <f t="shared" si="3"/>
        <v>45809</v>
      </c>
      <c r="D191" s="3" t="str">
        <f t="shared" si="4"/>
        <v>Completed</v>
      </c>
      <c r="E191" s="2">
        <f t="shared" si="5"/>
        <v>32</v>
      </c>
      <c r="F191" s="2" t="str">
        <f t="array" ref="F191">INDEX(lists!F:F,RANDBETWEEN(1,6))
</f>
        <v>Office</v>
      </c>
      <c r="G191" s="2" t="str">
        <f t="array" ref="G191">IFS(
F191="Bedroom",INDEX(lists!G:G,RANDBETWEEN(1,4)),
F191="Living Room",INDEX(lists!H:H,RANDBETWEEN(1,4)),
F191="Dining",INDEX(lists!I:I,RANDBETWEEN(1,2)),
F191="Kitchen",INDEX(lists!J:J,RANDBETWEEN(1,4)),
F191="Office",INDEX(lists!K:K,RANDBETWEEN(1,3)),
F191="Household Essentials",INDEX(lists!L:L,RANDBETWEEN(1,3))
)
</f>
        <v>Desk</v>
      </c>
      <c r="H191" s="2">
        <f t="shared" si="6"/>
        <v>1</v>
      </c>
      <c r="I191" s="2">
        <f t="shared" si="7"/>
        <v>1</v>
      </c>
      <c r="J191" s="2" t="str">
        <f t="array" ref="J191">INDEX(lists!A:A,RANDBETWEEN(1,19))
</f>
        <v>Rowe Ford Westbrook</v>
      </c>
      <c r="K191" s="2" t="str">
        <f t="array" ref="K191">INDEX(lists!N:N,RANDBETWEEN(1,6))
</f>
        <v>Scarborough</v>
      </c>
      <c r="L191" s="2">
        <f t="shared" si="8"/>
        <v>6</v>
      </c>
      <c r="M191" s="2" t="str">
        <f t="array" ref="M191">INDEX(lists!O:O,RANDBETWEEN(1,2))
</f>
        <v>Pickup</v>
      </c>
      <c r="N191" s="2">
        <f t="shared" si="9"/>
        <v>3</v>
      </c>
    </row>
    <row r="192">
      <c r="A192" s="2">
        <f t="shared" si="1"/>
        <v>191</v>
      </c>
      <c r="B192" s="3">
        <f t="shared" si="2"/>
        <v>45645</v>
      </c>
      <c r="C192" s="3" t="str">
        <f t="shared" si="3"/>
        <v/>
      </c>
      <c r="D192" s="3" t="str">
        <f t="shared" si="4"/>
        <v>Pending</v>
      </c>
      <c r="E192" s="2" t="str">
        <f t="shared" si="5"/>
        <v/>
      </c>
      <c r="F192" s="2" t="str">
        <f t="array" ref="F192">INDEX(lists!F:F,RANDBETWEEN(1,6))
</f>
        <v>Office</v>
      </c>
      <c r="G192" s="2" t="str">
        <f t="array" ref="G192">IFS(
F192="Bedroom",INDEX(lists!G:G,RANDBETWEEN(1,4)),
F192="Living Room",INDEX(lists!H:H,RANDBETWEEN(1,4)),
F192="Dining",INDEX(lists!I:I,RANDBETWEEN(1,2)),
F192="Kitchen",INDEX(lists!J:J,RANDBETWEEN(1,4)),
F192="Office",INDEX(lists!K:K,RANDBETWEEN(1,3)),
F192="Household Essentials",INDEX(lists!L:L,RANDBETWEEN(1,3))
)
</f>
        <v>Office Chair</v>
      </c>
      <c r="H192" s="2">
        <f t="shared" si="6"/>
        <v>4</v>
      </c>
      <c r="I192" s="2" t="str">
        <f t="shared" si="7"/>
        <v/>
      </c>
      <c r="J192" s="2" t="str">
        <f t="array" ref="J192">INDEX(lists!A:A,RANDBETWEEN(1,19))
</f>
        <v>Rowe Ford Westbrook</v>
      </c>
      <c r="K192" s="2" t="str">
        <f t="array" ref="K192">INDEX(lists!N:N,RANDBETWEEN(1,6))
</f>
        <v>Portland</v>
      </c>
      <c r="L192" s="2">
        <f t="shared" si="8"/>
        <v>1</v>
      </c>
      <c r="M192" s="2" t="str">
        <f t="array" ref="M192">INDEX(lists!O:O,RANDBETWEEN(1,2))
</f>
        <v>Delivery</v>
      </c>
      <c r="N192" s="2">
        <f t="shared" si="9"/>
        <v>1</v>
      </c>
    </row>
    <row r="193">
      <c r="A193" s="2">
        <f t="shared" si="1"/>
        <v>192</v>
      </c>
      <c r="B193" s="3">
        <f t="shared" si="2"/>
        <v>45484</v>
      </c>
      <c r="C193" s="3">
        <f t="shared" si="3"/>
        <v>45486</v>
      </c>
      <c r="D193" s="3" t="str">
        <f t="shared" si="4"/>
        <v>Completed</v>
      </c>
      <c r="E193" s="2">
        <f t="shared" si="5"/>
        <v>2</v>
      </c>
      <c r="F193" s="2" t="str">
        <f t="array" ref="F193">INDEX(lists!F:F,RANDBETWEEN(1,6))
</f>
        <v>Kitchen</v>
      </c>
      <c r="G193" s="2" t="str">
        <f t="array" ref="G193">IFS(
F193="Bedroom",INDEX(lists!G:G,RANDBETWEEN(1,4)),
F193="Living Room",INDEX(lists!H:H,RANDBETWEEN(1,4)),
F193="Dining",INDEX(lists!I:I,RANDBETWEEN(1,2)),
F193="Kitchen",INDEX(lists!J:J,RANDBETWEEN(1,4)),
F193="Office",INDEX(lists!K:K,RANDBETWEEN(1,3)),
F193="Household Essentials",INDEX(lists!L:L,RANDBETWEEN(1,3))
)
</f>
        <v>Pots &amp; Pans</v>
      </c>
      <c r="H193" s="2">
        <f t="shared" si="6"/>
        <v>3</v>
      </c>
      <c r="I193" s="2">
        <f t="shared" si="7"/>
        <v>1</v>
      </c>
      <c r="J193" s="2" t="str">
        <f t="array" ref="J193">INDEX(lists!A:A,RANDBETWEEN(1,19))
</f>
        <v>Maine Community Bank</v>
      </c>
      <c r="K193" s="2" t="str">
        <f t="array" ref="K193">INDEX(lists!N:N,RANDBETWEEN(1,6))
</f>
        <v>Westbrook</v>
      </c>
      <c r="L193" s="2">
        <f t="shared" si="8"/>
        <v>1</v>
      </c>
      <c r="M193" s="2" t="str">
        <f t="array" ref="M193">INDEX(lists!O:O,RANDBETWEEN(1,2))
</f>
        <v>Delivery</v>
      </c>
      <c r="N193" s="2">
        <f t="shared" si="9"/>
        <v>3</v>
      </c>
    </row>
    <row r="194">
      <c r="A194" s="2">
        <f t="shared" si="1"/>
        <v>193</v>
      </c>
      <c r="B194" s="3">
        <f t="shared" si="2"/>
        <v>45517</v>
      </c>
      <c r="C194" s="3">
        <f t="shared" si="3"/>
        <v>45523</v>
      </c>
      <c r="D194" s="3" t="str">
        <f t="shared" si="4"/>
        <v>Completed</v>
      </c>
      <c r="E194" s="2">
        <f t="shared" si="5"/>
        <v>6</v>
      </c>
      <c r="F194" s="2" t="str">
        <f t="array" ref="F194">INDEX(lists!F:F,RANDBETWEEN(1,6))
</f>
        <v>Kitchen</v>
      </c>
      <c r="G194" s="2" t="str">
        <f t="array" ref="G194">IFS(
F194="Bedroom",INDEX(lists!G:G,RANDBETWEEN(1,4)),
F194="Living Room",INDEX(lists!H:H,RANDBETWEEN(1,4)),
F194="Dining",INDEX(lists!I:I,RANDBETWEEN(1,2)),
F194="Kitchen",INDEX(lists!J:J,RANDBETWEEN(1,4)),
F194="Office",INDEX(lists!K:K,RANDBETWEEN(1,3)),
F194="Household Essentials",INDEX(lists!L:L,RANDBETWEEN(1,3))
)
</f>
        <v>Dishes</v>
      </c>
      <c r="H194" s="2">
        <f t="shared" si="6"/>
        <v>1</v>
      </c>
      <c r="I194" s="2">
        <f t="shared" si="7"/>
        <v>1</v>
      </c>
      <c r="J194" s="2" t="str">
        <f t="array" ref="J194">INDEX(lists!A:A,RANDBETWEEN(1,19))
</f>
        <v>Jordan's Furniture</v>
      </c>
      <c r="K194" s="2" t="str">
        <f t="array" ref="K194">INDEX(lists!N:N,RANDBETWEEN(1,6))
</f>
        <v>Biddeford</v>
      </c>
      <c r="L194" s="2">
        <f t="shared" si="8"/>
        <v>6</v>
      </c>
      <c r="M194" s="2" t="str">
        <f t="array" ref="M194">INDEX(lists!O:O,RANDBETWEEN(1,2))
</f>
        <v>Delivery</v>
      </c>
      <c r="N194" s="2">
        <f t="shared" si="9"/>
        <v>1</v>
      </c>
    </row>
    <row r="195">
      <c r="A195" s="2">
        <f t="shared" si="1"/>
        <v>194</v>
      </c>
      <c r="B195" s="3">
        <f t="shared" si="2"/>
        <v>45347</v>
      </c>
      <c r="C195" s="3" t="str">
        <f t="shared" si="3"/>
        <v/>
      </c>
      <c r="D195" s="3" t="str">
        <f t="shared" si="4"/>
        <v>Pending</v>
      </c>
      <c r="E195" s="2" t="str">
        <f t="shared" si="5"/>
        <v/>
      </c>
      <c r="F195" s="2" t="str">
        <f t="array" ref="F195">INDEX(lists!F:F,RANDBETWEEN(1,6))
</f>
        <v>Living Room</v>
      </c>
      <c r="G195" s="2" t="str">
        <f t="array" ref="G195">IFS(
F195="Bedroom",INDEX(lists!G:G,RANDBETWEEN(1,4)),
F195="Living Room",INDEX(lists!H:H,RANDBETWEEN(1,4)),
F195="Dining",INDEX(lists!I:I,RANDBETWEEN(1,2)),
F195="Kitchen",INDEX(lists!J:J,RANDBETWEEN(1,4)),
F195="Office",INDEX(lists!K:K,RANDBETWEEN(1,3)),
F195="Household Essentials",INDEX(lists!L:L,RANDBETWEEN(1,3))
)
</f>
        <v>TV Stand</v>
      </c>
      <c r="H195" s="2">
        <f t="shared" si="6"/>
        <v>3</v>
      </c>
      <c r="I195" s="2" t="str">
        <f t="shared" si="7"/>
        <v/>
      </c>
      <c r="J195" s="2" t="str">
        <f t="array" ref="J195">INDEX(lists!A:A,RANDBETWEEN(1,19))
</f>
        <v>Maine Community Bank</v>
      </c>
      <c r="K195" s="2" t="str">
        <f t="array" ref="K195">INDEX(lists!N:N,RANDBETWEEN(1,6))
</f>
        <v>South Portland</v>
      </c>
      <c r="L195" s="2">
        <f t="shared" si="8"/>
        <v>3</v>
      </c>
      <c r="M195" s="2" t="str">
        <f t="array" ref="M195">INDEX(lists!O:O,RANDBETWEEN(1,2))
</f>
        <v>Delivery</v>
      </c>
      <c r="N195" s="2">
        <f t="shared" si="9"/>
        <v>6</v>
      </c>
    </row>
    <row r="196">
      <c r="A196" s="2">
        <f t="shared" si="1"/>
        <v>195</v>
      </c>
      <c r="B196" s="3">
        <f t="shared" si="2"/>
        <v>45464</v>
      </c>
      <c r="C196" s="3">
        <f t="shared" si="3"/>
        <v>45466</v>
      </c>
      <c r="D196" s="3" t="str">
        <f t="shared" si="4"/>
        <v>Completed</v>
      </c>
      <c r="E196" s="2">
        <f t="shared" si="5"/>
        <v>2</v>
      </c>
      <c r="F196" s="2" t="str">
        <f t="array" ref="F196">INDEX(lists!F:F,RANDBETWEEN(1,6))
</f>
        <v>Office</v>
      </c>
      <c r="G196" s="2" t="str">
        <f t="array" ref="G196">IFS(
F196="Bedroom",INDEX(lists!G:G,RANDBETWEEN(1,4)),
F196="Living Room",INDEX(lists!H:H,RANDBETWEEN(1,4)),
F196="Dining",INDEX(lists!I:I,RANDBETWEEN(1,2)),
F196="Kitchen",INDEX(lists!J:J,RANDBETWEEN(1,4)),
F196="Office",INDEX(lists!K:K,RANDBETWEEN(1,3)),
F196="Household Essentials",INDEX(lists!L:L,RANDBETWEEN(1,3))
)
</f>
        <v>Bookshelf</v>
      </c>
      <c r="H196" s="2">
        <f t="shared" si="6"/>
        <v>2</v>
      </c>
      <c r="I196" s="2">
        <f t="shared" si="7"/>
        <v>2</v>
      </c>
      <c r="J196" s="2" t="str">
        <f t="array" ref="J196">INDEX(lists!A:A,RANDBETWEEN(1,19))
</f>
        <v>J.B Brown and Sons</v>
      </c>
      <c r="K196" s="2" t="str">
        <f t="array" ref="K196">INDEX(lists!N:N,RANDBETWEEN(1,6))
</f>
        <v>Falmouth</v>
      </c>
      <c r="L196" s="2">
        <f t="shared" si="8"/>
        <v>4</v>
      </c>
      <c r="M196" s="2" t="str">
        <f t="array" ref="M196">INDEX(lists!O:O,RANDBETWEEN(1,2))
</f>
        <v>Delivery</v>
      </c>
      <c r="N196" s="2">
        <f t="shared" si="9"/>
        <v>5</v>
      </c>
    </row>
    <row r="197">
      <c r="A197" s="2">
        <f t="shared" si="1"/>
        <v>196</v>
      </c>
      <c r="B197" s="3">
        <f t="shared" si="2"/>
        <v>45619</v>
      </c>
      <c r="C197" s="3">
        <f t="shared" si="3"/>
        <v>45635</v>
      </c>
      <c r="D197" s="3" t="str">
        <f t="shared" si="4"/>
        <v>Completed</v>
      </c>
      <c r="E197" s="2">
        <f t="shared" si="5"/>
        <v>16</v>
      </c>
      <c r="F197" s="2" t="str">
        <f t="array" ref="F197">INDEX(lists!F:F,RANDBETWEEN(1,6))
</f>
        <v>Household Essentials</v>
      </c>
      <c r="G197" s="2" t="str">
        <f t="array" ref="G197">IFS(
F197="Bedroom",INDEX(lists!G:G,RANDBETWEEN(1,4)),
F197="Living Room",INDEX(lists!H:H,RANDBETWEEN(1,4)),
F197="Dining",INDEX(lists!I:I,RANDBETWEEN(1,2)),
F197="Kitchen",INDEX(lists!J:J,RANDBETWEEN(1,4)),
F197="Office",INDEX(lists!K:K,RANDBETWEEN(1,3)),
F197="Household Essentials",INDEX(lists!L:L,RANDBETWEEN(1,3))
)
</f>
        <v>Bedding</v>
      </c>
      <c r="H197" s="2">
        <f t="shared" si="6"/>
        <v>1</v>
      </c>
      <c r="I197" s="2">
        <f t="shared" si="7"/>
        <v>1</v>
      </c>
      <c r="J197" s="2" t="str">
        <f t="array" ref="J197">INDEX(lists!A:A,RANDBETWEEN(1,19))
</f>
        <v>Maine Community Bank</v>
      </c>
      <c r="K197" s="2" t="str">
        <f t="array" ref="K197">INDEX(lists!N:N,RANDBETWEEN(1,6))
</f>
        <v>Scarborough</v>
      </c>
      <c r="L197" s="2">
        <f t="shared" si="8"/>
        <v>1</v>
      </c>
      <c r="M197" s="2" t="str">
        <f t="array" ref="M197">INDEX(lists!O:O,RANDBETWEEN(1,2))
</f>
        <v>Pickup</v>
      </c>
      <c r="N197" s="2">
        <f t="shared" si="9"/>
        <v>2</v>
      </c>
    </row>
    <row r="198">
      <c r="A198" s="2">
        <f t="shared" si="1"/>
        <v>197</v>
      </c>
      <c r="B198" s="3">
        <f t="shared" si="2"/>
        <v>45306</v>
      </c>
      <c r="C198" s="3" t="str">
        <f t="shared" si="3"/>
        <v/>
      </c>
      <c r="D198" s="3" t="str">
        <f t="shared" si="4"/>
        <v>Pending</v>
      </c>
      <c r="E198" s="2" t="str">
        <f t="shared" si="5"/>
        <v/>
      </c>
      <c r="F198" s="2" t="str">
        <f t="array" ref="F198">INDEX(lists!F:F,RANDBETWEEN(1,6))
</f>
        <v>Living Room</v>
      </c>
      <c r="G198" s="2" t="str">
        <f t="array" ref="G198">IFS(
F198="Bedroom",INDEX(lists!G:G,RANDBETWEEN(1,4)),
F198="Living Room",INDEX(lists!H:H,RANDBETWEEN(1,4)),
F198="Dining",INDEX(lists!I:I,RANDBETWEEN(1,2)),
F198="Kitchen",INDEX(lists!J:J,RANDBETWEEN(1,4)),
F198="Office",INDEX(lists!K:K,RANDBETWEEN(1,3)),
F198="Household Essentials",INDEX(lists!L:L,RANDBETWEEN(1,3))
)
</f>
        <v>Armchair</v>
      </c>
      <c r="H198" s="2">
        <f t="shared" si="6"/>
        <v>2</v>
      </c>
      <c r="I198" s="2" t="str">
        <f t="shared" si="7"/>
        <v/>
      </c>
      <c r="J198" s="2" t="str">
        <f t="array" ref="J198">INDEX(lists!A:A,RANDBETWEEN(1,19))
</f>
        <v>Spiritual Workers</v>
      </c>
      <c r="K198" s="2" t="str">
        <f t="array" ref="K198">INDEX(lists!N:N,RANDBETWEEN(1,6))
</f>
        <v>Biddeford</v>
      </c>
      <c r="L198" s="2">
        <f t="shared" si="8"/>
        <v>5</v>
      </c>
      <c r="M198" s="2" t="str">
        <f t="array" ref="M198">INDEX(lists!O:O,RANDBETWEEN(1,2))
</f>
        <v>Delivery</v>
      </c>
      <c r="N198" s="2">
        <f t="shared" si="9"/>
        <v>1</v>
      </c>
    </row>
    <row r="199">
      <c r="A199" s="2">
        <f t="shared" si="1"/>
        <v>198</v>
      </c>
      <c r="B199" s="3">
        <f t="shared" si="2"/>
        <v>45452</v>
      </c>
      <c r="C199" s="3">
        <f t="shared" si="3"/>
        <v>45489</v>
      </c>
      <c r="D199" s="3" t="str">
        <f t="shared" si="4"/>
        <v>Completed</v>
      </c>
      <c r="E199" s="2">
        <f t="shared" si="5"/>
        <v>37</v>
      </c>
      <c r="F199" s="2" t="str">
        <f t="array" ref="F199">INDEX(lists!F:F,RANDBETWEEN(1,6))
</f>
        <v>Bedroom</v>
      </c>
      <c r="G199" s="2" t="str">
        <f t="array" ref="G199">IFS(
F199="Bedroom",INDEX(lists!G:G,RANDBETWEEN(1,4)),
F199="Living Room",INDEX(lists!H:H,RANDBETWEEN(1,4)),
F199="Dining",INDEX(lists!I:I,RANDBETWEEN(1,2)),
F199="Kitchen",INDEX(lists!J:J,RANDBETWEEN(1,4)),
F199="Office",INDEX(lists!K:K,RANDBETWEEN(1,3)),
F199="Household Essentials",INDEX(lists!L:L,RANDBETWEEN(1,3))
)
</f>
        <v>Bed Frame</v>
      </c>
      <c r="H199" s="2">
        <f t="shared" si="6"/>
        <v>1</v>
      </c>
      <c r="I199" s="2">
        <f t="shared" si="7"/>
        <v>1</v>
      </c>
      <c r="J199" s="2" t="str">
        <f t="array" ref="J199">INDEX(lists!A:A,RANDBETWEEN(1,19))
</f>
        <v>Maine Community Bank</v>
      </c>
      <c r="K199" s="2" t="str">
        <f t="array" ref="K199">INDEX(lists!N:N,RANDBETWEEN(1,6))
</f>
        <v>Biddeford</v>
      </c>
      <c r="L199" s="2">
        <f t="shared" si="8"/>
        <v>6</v>
      </c>
      <c r="M199" s="2" t="str">
        <f t="array" ref="M199">INDEX(lists!O:O,RANDBETWEEN(1,2))
</f>
        <v>Delivery</v>
      </c>
      <c r="N199" s="2">
        <f t="shared" si="9"/>
        <v>3</v>
      </c>
    </row>
    <row r="200">
      <c r="A200" s="2">
        <f t="shared" si="1"/>
        <v>199</v>
      </c>
      <c r="B200" s="3">
        <f t="shared" si="2"/>
        <v>45428</v>
      </c>
      <c r="C200" s="3">
        <f t="shared" si="3"/>
        <v>45429</v>
      </c>
      <c r="D200" s="3" t="str">
        <f t="shared" si="4"/>
        <v>Completed</v>
      </c>
      <c r="E200" s="2">
        <f t="shared" si="5"/>
        <v>1</v>
      </c>
      <c r="F200" s="2" t="str">
        <f t="array" ref="F200">INDEX(lists!F:F,RANDBETWEEN(1,6))
</f>
        <v>Bedroom</v>
      </c>
      <c r="G200" s="2" t="str">
        <f t="array" ref="G200">IFS(
F200="Bedroom",INDEX(lists!G:G,RANDBETWEEN(1,4)),
F200="Living Room",INDEX(lists!H:H,RANDBETWEEN(1,4)),
F200="Dining",INDEX(lists!I:I,RANDBETWEEN(1,2)),
F200="Kitchen",INDEX(lists!J:J,RANDBETWEEN(1,4)),
F200="Office",INDEX(lists!K:K,RANDBETWEEN(1,3)),
F200="Household Essentials",INDEX(lists!L:L,RANDBETWEEN(1,3))
)
</f>
        <v>Bed Frame</v>
      </c>
      <c r="H200" s="2">
        <f t="shared" si="6"/>
        <v>3</v>
      </c>
      <c r="I200" s="2">
        <f t="shared" si="7"/>
        <v>3</v>
      </c>
      <c r="J200" s="2" t="str">
        <f t="array" ref="J200">INDEX(lists!A:A,RANDBETWEEN(1,19))
</f>
        <v>J.B Brown and Sons</v>
      </c>
      <c r="K200" s="2" t="str">
        <f t="array" ref="K200">INDEX(lists!N:N,RANDBETWEEN(1,6))
</f>
        <v>Biddeford</v>
      </c>
      <c r="L200" s="2">
        <f t="shared" si="8"/>
        <v>1</v>
      </c>
      <c r="M200" s="2" t="str">
        <f t="array" ref="M200">INDEX(lists!O:O,RANDBETWEEN(1,2))
</f>
        <v>Delivery</v>
      </c>
      <c r="N200" s="2">
        <f t="shared" si="9"/>
        <v>4</v>
      </c>
    </row>
    <row r="201">
      <c r="A201" s="2">
        <f t="shared" si="1"/>
        <v>200</v>
      </c>
      <c r="B201" s="3">
        <f t="shared" si="2"/>
        <v>45766</v>
      </c>
      <c r="C201" s="3">
        <f t="shared" si="3"/>
        <v>45769</v>
      </c>
      <c r="D201" s="3" t="str">
        <f t="shared" si="4"/>
        <v>Completed</v>
      </c>
      <c r="E201" s="2">
        <f t="shared" si="5"/>
        <v>3</v>
      </c>
      <c r="F201" s="2" t="str">
        <f t="array" ref="F201">INDEX(lists!F:F,RANDBETWEEN(1,6))
</f>
        <v>Bedroom</v>
      </c>
      <c r="G201" s="2" t="str">
        <f t="array" ref="G201">IFS(
F201="Bedroom",INDEX(lists!G:G,RANDBETWEEN(1,4)),
F201="Living Room",INDEX(lists!H:H,RANDBETWEEN(1,4)),
F201="Dining",INDEX(lists!I:I,RANDBETWEEN(1,2)),
F201="Kitchen",INDEX(lists!J:J,RANDBETWEEN(1,4)),
F201="Office",INDEX(lists!K:K,RANDBETWEEN(1,3)),
F201="Household Essentials",INDEX(lists!L:L,RANDBETWEEN(1,3))
)
</f>
        <v>Dresser</v>
      </c>
      <c r="H201" s="2">
        <f t="shared" si="6"/>
        <v>1</v>
      </c>
      <c r="I201" s="2">
        <f t="shared" si="7"/>
        <v>1</v>
      </c>
      <c r="J201" s="2" t="str">
        <f t="array" ref="J201">INDEX(lists!A:A,RANDBETWEEN(1,19))
</f>
        <v>Jordan's Furniture</v>
      </c>
      <c r="K201" s="2" t="str">
        <f t="array" ref="K201">INDEX(lists!N:N,RANDBETWEEN(1,6))
</f>
        <v>Falmouth</v>
      </c>
      <c r="L201" s="2">
        <f t="shared" si="8"/>
        <v>5</v>
      </c>
      <c r="M201" s="2" t="str">
        <f t="array" ref="M201">INDEX(lists!O:O,RANDBETWEEN(1,2))
</f>
        <v>Delivery</v>
      </c>
      <c r="N201" s="2">
        <f t="shared" si="9"/>
        <v>4</v>
      </c>
    </row>
    <row r="202">
      <c r="A202" s="2">
        <f t="shared" si="1"/>
        <v>201</v>
      </c>
      <c r="B202" s="3">
        <f t="shared" si="2"/>
        <v>45430</v>
      </c>
      <c r="C202" s="3">
        <f t="shared" si="3"/>
        <v>45474</v>
      </c>
      <c r="D202" s="3" t="str">
        <f t="shared" si="4"/>
        <v>Completed</v>
      </c>
      <c r="E202" s="2">
        <f t="shared" si="5"/>
        <v>44</v>
      </c>
      <c r="F202" s="2" t="str">
        <f t="array" ref="F202">INDEX(lists!F:F,RANDBETWEEN(1,6))
</f>
        <v>Living Room</v>
      </c>
      <c r="G202" s="2" t="str">
        <f t="array" ref="G202">IFS(
F202="Bedroom",INDEX(lists!G:G,RANDBETWEEN(1,4)),
F202="Living Room",INDEX(lists!H:H,RANDBETWEEN(1,4)),
F202="Dining",INDEX(lists!I:I,RANDBETWEEN(1,2)),
F202="Kitchen",INDEX(lists!J:J,RANDBETWEEN(1,4)),
F202="Office",INDEX(lists!K:K,RANDBETWEEN(1,3)),
F202="Household Essentials",INDEX(lists!L:L,RANDBETWEEN(1,3))
)
</f>
        <v>Armchair</v>
      </c>
      <c r="H202" s="2">
        <f t="shared" si="6"/>
        <v>4</v>
      </c>
      <c r="I202" s="2">
        <f t="shared" si="7"/>
        <v>3</v>
      </c>
      <c r="J202" s="2" t="str">
        <f t="array" ref="J202">INDEX(lists!A:A,RANDBETWEEN(1,19))
</f>
        <v>NewHeight Group</v>
      </c>
      <c r="K202" s="2" t="str">
        <f t="array" ref="K202">INDEX(lists!N:N,RANDBETWEEN(1,6))
</f>
        <v>South Portland</v>
      </c>
      <c r="L202" s="2">
        <f t="shared" si="8"/>
        <v>2</v>
      </c>
      <c r="M202" s="2" t="str">
        <f t="array" ref="M202">INDEX(lists!O:O,RANDBETWEEN(1,2))
</f>
        <v>Pickup</v>
      </c>
      <c r="N202" s="2">
        <f t="shared" si="9"/>
        <v>5</v>
      </c>
    </row>
    <row r="203">
      <c r="A203" s="2">
        <f t="shared" si="1"/>
        <v>202</v>
      </c>
      <c r="B203" s="3">
        <f t="shared" si="2"/>
        <v>45602</v>
      </c>
      <c r="C203" s="3">
        <f t="shared" si="3"/>
        <v>45604</v>
      </c>
      <c r="D203" s="3" t="str">
        <f t="shared" si="4"/>
        <v>Completed</v>
      </c>
      <c r="E203" s="2">
        <f t="shared" si="5"/>
        <v>2</v>
      </c>
      <c r="F203" s="2" t="str">
        <f t="array" ref="F203">INDEX(lists!F:F,RANDBETWEEN(1,6))
</f>
        <v>Kitchen</v>
      </c>
      <c r="G203" s="2" t="str">
        <f t="array" ref="G203">IFS(
F203="Bedroom",INDEX(lists!G:G,RANDBETWEEN(1,4)),
F203="Living Room",INDEX(lists!H:H,RANDBETWEEN(1,4)),
F203="Dining",INDEX(lists!I:I,RANDBETWEEN(1,2)),
F203="Kitchen",INDEX(lists!J:J,RANDBETWEEN(1,4)),
F203="Office",INDEX(lists!K:K,RANDBETWEEN(1,3)),
F203="Household Essentials",INDEX(lists!L:L,RANDBETWEEN(1,3))
)
</f>
        <v>Dishes</v>
      </c>
      <c r="H203" s="2">
        <f t="shared" si="6"/>
        <v>4</v>
      </c>
      <c r="I203" s="2">
        <f t="shared" si="7"/>
        <v>4</v>
      </c>
      <c r="J203" s="2" t="str">
        <f t="array" ref="J203">INDEX(lists!A:A,RANDBETWEEN(1,19))
</f>
        <v>Jordan's Furniture</v>
      </c>
      <c r="K203" s="2" t="str">
        <f t="array" ref="K203">INDEX(lists!N:N,RANDBETWEEN(1,6))
</f>
        <v>Biddeford</v>
      </c>
      <c r="L203" s="2">
        <f t="shared" si="8"/>
        <v>4</v>
      </c>
      <c r="M203" s="2" t="str">
        <f t="array" ref="M203">INDEX(lists!O:O,RANDBETWEEN(1,2))
</f>
        <v>Pickup</v>
      </c>
      <c r="N203" s="2">
        <f t="shared" si="9"/>
        <v>4</v>
      </c>
    </row>
    <row r="204">
      <c r="A204" s="2">
        <f t="shared" si="1"/>
        <v>203</v>
      </c>
      <c r="B204" s="3">
        <f t="shared" si="2"/>
        <v>45341</v>
      </c>
      <c r="C204" s="3" t="str">
        <f t="shared" si="3"/>
        <v/>
      </c>
      <c r="D204" s="3" t="str">
        <f t="shared" si="4"/>
        <v>Cancelled</v>
      </c>
      <c r="E204" s="2" t="str">
        <f t="shared" si="5"/>
        <v/>
      </c>
      <c r="F204" s="2" t="str">
        <f t="array" ref="F204">INDEX(lists!F:F,RANDBETWEEN(1,6))
</f>
        <v>Bedroom</v>
      </c>
      <c r="G204" s="2" t="str">
        <f t="array" ref="G204">IFS(
F204="Bedroom",INDEX(lists!G:G,RANDBETWEEN(1,4)),
F204="Living Room",INDEX(lists!H:H,RANDBETWEEN(1,4)),
F204="Dining",INDEX(lists!I:I,RANDBETWEEN(1,2)),
F204="Kitchen",INDEX(lists!J:J,RANDBETWEEN(1,4)),
F204="Office",INDEX(lists!K:K,RANDBETWEEN(1,3)),
F204="Household Essentials",INDEX(lists!L:L,RANDBETWEEN(1,3))
)
</f>
        <v>Dresser</v>
      </c>
      <c r="H204" s="2">
        <f t="shared" si="6"/>
        <v>4</v>
      </c>
      <c r="I204" s="2" t="str">
        <f t="shared" si="7"/>
        <v/>
      </c>
      <c r="J204" s="2" t="str">
        <f t="array" ref="J204">INDEX(lists!A:A,RANDBETWEEN(1,19))
</f>
        <v>Developers Collaborative</v>
      </c>
      <c r="K204" s="2" t="str">
        <f t="array" ref="K204">INDEX(lists!N:N,RANDBETWEEN(1,6))
</f>
        <v>Falmouth</v>
      </c>
      <c r="L204" s="2">
        <f t="shared" si="8"/>
        <v>3</v>
      </c>
      <c r="M204" s="2" t="str">
        <f t="array" ref="M204">INDEX(lists!O:O,RANDBETWEEN(1,2))
</f>
        <v>Pickup</v>
      </c>
      <c r="N204" s="2">
        <f t="shared" si="9"/>
        <v>4</v>
      </c>
    </row>
    <row r="205">
      <c r="A205" s="2">
        <f t="shared" si="1"/>
        <v>204</v>
      </c>
      <c r="B205" s="3">
        <f t="shared" si="2"/>
        <v>45399</v>
      </c>
      <c r="C205" s="3">
        <f t="shared" si="3"/>
        <v>45405</v>
      </c>
      <c r="D205" s="3" t="str">
        <f t="shared" si="4"/>
        <v>Completed</v>
      </c>
      <c r="E205" s="2">
        <f t="shared" si="5"/>
        <v>6</v>
      </c>
      <c r="F205" s="2" t="str">
        <f t="array" ref="F205">INDEX(lists!F:F,RANDBETWEEN(1,6))
</f>
        <v>Living Room</v>
      </c>
      <c r="G205" s="2" t="str">
        <f t="array" ref="G205">IFS(
F205="Bedroom",INDEX(lists!G:G,RANDBETWEEN(1,4)),
F205="Living Room",INDEX(lists!H:H,RANDBETWEEN(1,4)),
F205="Dining",INDEX(lists!I:I,RANDBETWEEN(1,2)),
F205="Kitchen",INDEX(lists!J:J,RANDBETWEEN(1,4)),
F205="Office",INDEX(lists!K:K,RANDBETWEEN(1,3)),
F205="Household Essentials",INDEX(lists!L:L,RANDBETWEEN(1,3))
)
</f>
        <v>TV Stand</v>
      </c>
      <c r="H205" s="2">
        <f t="shared" si="6"/>
        <v>1</v>
      </c>
      <c r="I205" s="2">
        <f t="shared" si="7"/>
        <v>1</v>
      </c>
      <c r="J205" s="2" t="str">
        <f t="array" ref="J205">INDEX(lists!A:A,RANDBETWEEN(1,19))
</f>
        <v>Rowe Ford Westbrook</v>
      </c>
      <c r="K205" s="2" t="str">
        <f t="array" ref="K205">INDEX(lists!N:N,RANDBETWEEN(1,6))
</f>
        <v>South Portland</v>
      </c>
      <c r="L205" s="2">
        <f t="shared" si="8"/>
        <v>5</v>
      </c>
      <c r="M205" s="2" t="str">
        <f t="array" ref="M205">INDEX(lists!O:O,RANDBETWEEN(1,2))
</f>
        <v>Delivery</v>
      </c>
      <c r="N205" s="2">
        <f t="shared" si="9"/>
        <v>1</v>
      </c>
    </row>
    <row r="206">
      <c r="A206" s="2">
        <f t="shared" si="1"/>
        <v>205</v>
      </c>
      <c r="B206" s="3">
        <f t="shared" si="2"/>
        <v>45795</v>
      </c>
      <c r="C206" s="3">
        <f t="shared" si="3"/>
        <v>45806</v>
      </c>
      <c r="D206" s="3" t="str">
        <f t="shared" si="4"/>
        <v>Completed</v>
      </c>
      <c r="E206" s="2">
        <f t="shared" si="5"/>
        <v>11</v>
      </c>
      <c r="F206" s="2" t="str">
        <f t="array" ref="F206">INDEX(lists!F:F,RANDBETWEEN(1,6))
</f>
        <v>Dining</v>
      </c>
      <c r="G206" s="2" t="str">
        <f t="array" ref="G206">IFS(
F206="Bedroom",INDEX(lists!G:G,RANDBETWEEN(1,4)),
F206="Living Room",INDEX(lists!H:H,RANDBETWEEN(1,4)),
F206="Dining",INDEX(lists!I:I,RANDBETWEEN(1,2)),
F206="Kitchen",INDEX(lists!J:J,RANDBETWEEN(1,4)),
F206="Office",INDEX(lists!K:K,RANDBETWEEN(1,3)),
F206="Household Essentials",INDEX(lists!L:L,RANDBETWEEN(1,3))
)
</f>
        <v>Dining Chair</v>
      </c>
      <c r="H206" s="2">
        <f t="shared" si="6"/>
        <v>3</v>
      </c>
      <c r="I206" s="2">
        <f t="shared" si="7"/>
        <v>3</v>
      </c>
      <c r="J206" s="2" t="str">
        <f t="array" ref="J206">INDEX(lists!A:A,RANDBETWEEN(1,19))
</f>
        <v>Coffee By Design</v>
      </c>
      <c r="K206" s="2" t="str">
        <f t="array" ref="K206">INDEX(lists!N:N,RANDBETWEEN(1,6))
</f>
        <v>Scarborough</v>
      </c>
      <c r="L206" s="2">
        <f t="shared" si="8"/>
        <v>3</v>
      </c>
      <c r="M206" s="2" t="str">
        <f t="array" ref="M206">INDEX(lists!O:O,RANDBETWEEN(1,2))
</f>
        <v>Pickup</v>
      </c>
      <c r="N206" s="2">
        <f t="shared" si="9"/>
        <v>6</v>
      </c>
    </row>
    <row r="207">
      <c r="A207" s="2">
        <f t="shared" si="1"/>
        <v>206</v>
      </c>
      <c r="B207" s="3">
        <f t="shared" si="2"/>
        <v>45301</v>
      </c>
      <c r="C207" s="3">
        <f t="shared" si="3"/>
        <v>45313</v>
      </c>
      <c r="D207" s="3" t="str">
        <f t="shared" si="4"/>
        <v>Completed</v>
      </c>
      <c r="E207" s="2">
        <f t="shared" si="5"/>
        <v>12</v>
      </c>
      <c r="F207" s="2" t="str">
        <f t="array" ref="F207">INDEX(lists!F:F,RANDBETWEEN(1,6))
</f>
        <v>Office</v>
      </c>
      <c r="G207" s="2" t="str">
        <f t="array" ref="G207">IFS(
F207="Bedroom",INDEX(lists!G:G,RANDBETWEEN(1,4)),
F207="Living Room",INDEX(lists!H:H,RANDBETWEEN(1,4)),
F207="Dining",INDEX(lists!I:I,RANDBETWEEN(1,2)),
F207="Kitchen",INDEX(lists!J:J,RANDBETWEEN(1,4)),
F207="Office",INDEX(lists!K:K,RANDBETWEEN(1,3)),
F207="Household Essentials",INDEX(lists!L:L,RANDBETWEEN(1,3))
)
</f>
        <v>Desk</v>
      </c>
      <c r="H207" s="2">
        <f t="shared" si="6"/>
        <v>3</v>
      </c>
      <c r="I207" s="2">
        <f t="shared" si="7"/>
        <v>3</v>
      </c>
      <c r="J207" s="2" t="str">
        <f t="array" ref="J207">INDEX(lists!A:A,RANDBETWEEN(1,19))
</f>
        <v>Saco &amp; Biddeford Savings</v>
      </c>
      <c r="K207" s="2" t="str">
        <f t="array" ref="K207">INDEX(lists!N:N,RANDBETWEEN(1,6))
</f>
        <v>South Portland</v>
      </c>
      <c r="L207" s="2">
        <f t="shared" si="8"/>
        <v>4</v>
      </c>
      <c r="M207" s="2" t="str">
        <f t="array" ref="M207">INDEX(lists!O:O,RANDBETWEEN(1,2))
</f>
        <v>Pickup</v>
      </c>
      <c r="N207" s="2">
        <f t="shared" si="9"/>
        <v>6</v>
      </c>
    </row>
    <row r="208">
      <c r="A208" s="2">
        <f t="shared" si="1"/>
        <v>207</v>
      </c>
      <c r="B208" s="3">
        <f t="shared" si="2"/>
        <v>45713</v>
      </c>
      <c r="C208" s="3">
        <f t="shared" si="3"/>
        <v>45736</v>
      </c>
      <c r="D208" s="3" t="str">
        <f t="shared" si="4"/>
        <v>Completed</v>
      </c>
      <c r="E208" s="2">
        <f t="shared" si="5"/>
        <v>23</v>
      </c>
      <c r="F208" s="2" t="str">
        <f t="array" ref="F208">INDEX(lists!F:F,RANDBETWEEN(1,6))
</f>
        <v>Living Room</v>
      </c>
      <c r="G208" s="2" t="str">
        <f t="array" ref="G208">IFS(
F208="Bedroom",INDEX(lists!G:G,RANDBETWEEN(1,4)),
F208="Living Room",INDEX(lists!H:H,RANDBETWEEN(1,4)),
F208="Dining",INDEX(lists!I:I,RANDBETWEEN(1,2)),
F208="Kitchen",INDEX(lists!J:J,RANDBETWEEN(1,4)),
F208="Office",INDEX(lists!K:K,RANDBETWEEN(1,3)),
F208="Household Essentials",INDEX(lists!L:L,RANDBETWEEN(1,3))
)
</f>
        <v>TV Stand</v>
      </c>
      <c r="H208" s="2">
        <f t="shared" si="6"/>
        <v>2</v>
      </c>
      <c r="I208" s="2">
        <f t="shared" si="7"/>
        <v>2</v>
      </c>
      <c r="J208" s="2" t="str">
        <f t="array" ref="J208">INDEX(lists!A:A,RANDBETWEEN(1,19))
</f>
        <v>Rowe Ford Westbrook</v>
      </c>
      <c r="K208" s="2" t="str">
        <f t="array" ref="K208">INDEX(lists!N:N,RANDBETWEEN(1,6))
</f>
        <v>Westbrook</v>
      </c>
      <c r="L208" s="2">
        <f t="shared" si="8"/>
        <v>3</v>
      </c>
      <c r="M208" s="2" t="str">
        <f t="array" ref="M208">INDEX(lists!O:O,RANDBETWEEN(1,2))
</f>
        <v>Delivery</v>
      </c>
      <c r="N208" s="2">
        <f t="shared" si="9"/>
        <v>2</v>
      </c>
    </row>
    <row r="209">
      <c r="A209" s="2">
        <f t="shared" si="1"/>
        <v>208</v>
      </c>
      <c r="B209" s="3">
        <f t="shared" si="2"/>
        <v>45757</v>
      </c>
      <c r="C209" s="3" t="str">
        <f t="shared" si="3"/>
        <v/>
      </c>
      <c r="D209" s="3" t="str">
        <f t="shared" si="4"/>
        <v>Pending</v>
      </c>
      <c r="E209" s="2" t="str">
        <f t="shared" si="5"/>
        <v/>
      </c>
      <c r="F209" s="2" t="str">
        <f t="array" ref="F209">INDEX(lists!F:F,RANDBETWEEN(1,6))
</f>
        <v>Bedroom</v>
      </c>
      <c r="G209" s="2" t="str">
        <f t="array" ref="G209">IFS(
F209="Bedroom",INDEX(lists!G:G,RANDBETWEEN(1,4)),
F209="Living Room",INDEX(lists!H:H,RANDBETWEEN(1,4)),
F209="Dining",INDEX(lists!I:I,RANDBETWEEN(1,2)),
F209="Kitchen",INDEX(lists!J:J,RANDBETWEEN(1,4)),
F209="Office",INDEX(lists!K:K,RANDBETWEEN(1,3)),
F209="Household Essentials",INDEX(lists!L:L,RANDBETWEEN(1,3))
)
</f>
        <v>Bed Frame</v>
      </c>
      <c r="H209" s="2">
        <f t="shared" si="6"/>
        <v>4</v>
      </c>
      <c r="I209" s="2" t="str">
        <f t="shared" si="7"/>
        <v/>
      </c>
      <c r="J209" s="2" t="str">
        <f t="array" ref="J209">INDEX(lists!A:A,RANDBETWEEN(1,19))
</f>
        <v>Portland Harbor Group Raymond James</v>
      </c>
      <c r="K209" s="2" t="str">
        <f t="array" ref="K209">INDEX(lists!N:N,RANDBETWEEN(1,6))
</f>
        <v>Portland</v>
      </c>
      <c r="L209" s="2">
        <f t="shared" si="8"/>
        <v>4</v>
      </c>
      <c r="M209" s="2" t="str">
        <f t="array" ref="M209">INDEX(lists!O:O,RANDBETWEEN(1,2))
</f>
        <v>Pickup</v>
      </c>
      <c r="N209" s="2">
        <f t="shared" si="9"/>
        <v>3</v>
      </c>
    </row>
    <row r="210">
      <c r="A210" s="2">
        <f t="shared" si="1"/>
        <v>209</v>
      </c>
      <c r="B210" s="3">
        <f t="shared" si="2"/>
        <v>45725</v>
      </c>
      <c r="C210" s="3" t="str">
        <f t="shared" si="3"/>
        <v/>
      </c>
      <c r="D210" s="3" t="str">
        <f t="shared" si="4"/>
        <v>Cancelled</v>
      </c>
      <c r="E210" s="2" t="str">
        <f t="shared" si="5"/>
        <v/>
      </c>
      <c r="F210" s="2" t="str">
        <f t="array" ref="F210">INDEX(lists!F:F,RANDBETWEEN(1,6))
</f>
        <v>Kitchen</v>
      </c>
      <c r="G210" s="2" t="str">
        <f t="array" ref="G210">IFS(
F210="Bedroom",INDEX(lists!G:G,RANDBETWEEN(1,4)),
F210="Living Room",INDEX(lists!H:H,RANDBETWEEN(1,4)),
F210="Dining",INDEX(lists!I:I,RANDBETWEEN(1,2)),
F210="Kitchen",INDEX(lists!J:J,RANDBETWEEN(1,4)),
F210="Office",INDEX(lists!K:K,RANDBETWEEN(1,3)),
F210="Household Essentials",INDEX(lists!L:L,RANDBETWEEN(1,3))
)
</f>
        <v>Small Appliances</v>
      </c>
      <c r="H210" s="2">
        <f t="shared" si="6"/>
        <v>3</v>
      </c>
      <c r="I210" s="2" t="str">
        <f t="shared" si="7"/>
        <v/>
      </c>
      <c r="J210" s="2" t="str">
        <f t="array" ref="J210">INDEX(lists!A:A,RANDBETWEEN(1,19))
</f>
        <v>Maine Community Bank</v>
      </c>
      <c r="K210" s="2" t="str">
        <f t="array" ref="K210">INDEX(lists!N:N,RANDBETWEEN(1,6))
</f>
        <v>Portland</v>
      </c>
      <c r="L210" s="2">
        <f t="shared" si="8"/>
        <v>1</v>
      </c>
      <c r="M210" s="2" t="str">
        <f t="array" ref="M210">INDEX(lists!O:O,RANDBETWEEN(1,2))
</f>
        <v>Pickup</v>
      </c>
      <c r="N210" s="2">
        <f t="shared" si="9"/>
        <v>5</v>
      </c>
    </row>
    <row r="211">
      <c r="A211" s="2">
        <f t="shared" si="1"/>
        <v>210</v>
      </c>
      <c r="B211" s="3">
        <f t="shared" si="2"/>
        <v>45439</v>
      </c>
      <c r="C211" s="3">
        <f t="shared" si="3"/>
        <v>45445</v>
      </c>
      <c r="D211" s="3" t="str">
        <f t="shared" si="4"/>
        <v>Completed</v>
      </c>
      <c r="E211" s="2">
        <f t="shared" si="5"/>
        <v>6</v>
      </c>
      <c r="F211" s="2" t="str">
        <f t="array" ref="F211">INDEX(lists!F:F,RANDBETWEEN(1,6))
</f>
        <v>Dining</v>
      </c>
      <c r="G211" s="2" t="str">
        <f t="array" ref="G211">IFS(
F211="Bedroom",INDEX(lists!G:G,RANDBETWEEN(1,4)),
F211="Living Room",INDEX(lists!H:H,RANDBETWEEN(1,4)),
F211="Dining",INDEX(lists!I:I,RANDBETWEEN(1,2)),
F211="Kitchen",INDEX(lists!J:J,RANDBETWEEN(1,4)),
F211="Office",INDEX(lists!K:K,RANDBETWEEN(1,3)),
F211="Household Essentials",INDEX(lists!L:L,RANDBETWEEN(1,3))
)
</f>
        <v>Dining Table</v>
      </c>
      <c r="H211" s="2">
        <f t="shared" si="6"/>
        <v>4</v>
      </c>
      <c r="I211" s="2">
        <f t="shared" si="7"/>
        <v>1</v>
      </c>
      <c r="J211" s="2" t="str">
        <f t="array" ref="J211">INDEX(lists!A:A,RANDBETWEEN(1,19))
</f>
        <v>Shutterbugs 4 Charity</v>
      </c>
      <c r="K211" s="2" t="str">
        <f t="array" ref="K211">INDEX(lists!N:N,RANDBETWEEN(1,6))
</f>
        <v>Falmouth</v>
      </c>
      <c r="L211" s="2">
        <f t="shared" si="8"/>
        <v>2</v>
      </c>
      <c r="M211" s="2" t="str">
        <f t="array" ref="M211">INDEX(lists!O:O,RANDBETWEEN(1,2))
</f>
        <v>Pickup</v>
      </c>
      <c r="N211" s="2">
        <f t="shared" si="9"/>
        <v>1</v>
      </c>
    </row>
    <row r="212">
      <c r="A212" s="2">
        <f t="shared" si="1"/>
        <v>211</v>
      </c>
      <c r="B212" s="3">
        <f t="shared" si="2"/>
        <v>45656</v>
      </c>
      <c r="C212" s="3">
        <f t="shared" si="3"/>
        <v>45661</v>
      </c>
      <c r="D212" s="3" t="str">
        <f t="shared" si="4"/>
        <v>Completed</v>
      </c>
      <c r="E212" s="2">
        <f t="shared" si="5"/>
        <v>5</v>
      </c>
      <c r="F212" s="2" t="str">
        <f t="array" ref="F212">INDEX(lists!F:F,RANDBETWEEN(1,6))
</f>
        <v>Kitchen</v>
      </c>
      <c r="G212" s="2" t="str">
        <f t="array" ref="G212">IFS(
F212="Bedroom",INDEX(lists!G:G,RANDBETWEEN(1,4)),
F212="Living Room",INDEX(lists!H:H,RANDBETWEEN(1,4)),
F212="Dining",INDEX(lists!I:I,RANDBETWEEN(1,2)),
F212="Kitchen",INDEX(lists!J:J,RANDBETWEEN(1,4)),
F212="Office",INDEX(lists!K:K,RANDBETWEEN(1,3)),
F212="Household Essentials",INDEX(lists!L:L,RANDBETWEEN(1,3))
)
</f>
        <v>Microwave</v>
      </c>
      <c r="H212" s="2">
        <f t="shared" si="6"/>
        <v>4</v>
      </c>
      <c r="I212" s="2">
        <f t="shared" si="7"/>
        <v>1</v>
      </c>
      <c r="J212" s="2" t="str">
        <f t="array" ref="J212">INDEX(lists!A:A,RANDBETWEEN(1,19))
</f>
        <v>Saco &amp; Biddeford Savings</v>
      </c>
      <c r="K212" s="2" t="str">
        <f t="array" ref="K212">INDEX(lists!N:N,RANDBETWEEN(1,6))
</f>
        <v>Portland</v>
      </c>
      <c r="L212" s="2">
        <f t="shared" si="8"/>
        <v>2</v>
      </c>
      <c r="M212" s="2" t="str">
        <f t="array" ref="M212">INDEX(lists!O:O,RANDBETWEEN(1,2))
</f>
        <v>Delivery</v>
      </c>
      <c r="N212" s="2">
        <f t="shared" si="9"/>
        <v>6</v>
      </c>
    </row>
    <row r="213">
      <c r="A213" s="2">
        <f t="shared" si="1"/>
        <v>212</v>
      </c>
      <c r="B213" s="3">
        <f t="shared" si="2"/>
        <v>45463</v>
      </c>
      <c r="C213" s="3">
        <f t="shared" si="3"/>
        <v>45471</v>
      </c>
      <c r="D213" s="3" t="str">
        <f t="shared" si="4"/>
        <v>Completed</v>
      </c>
      <c r="E213" s="2">
        <f t="shared" si="5"/>
        <v>8</v>
      </c>
      <c r="F213" s="2" t="str">
        <f t="array" ref="F213">INDEX(lists!F:F,RANDBETWEEN(1,6))
</f>
        <v>Bedroom</v>
      </c>
      <c r="G213" s="2" t="str">
        <f t="array" ref="G213">IFS(
F213="Bedroom",INDEX(lists!G:G,RANDBETWEEN(1,4)),
F213="Living Room",INDEX(lists!H:H,RANDBETWEEN(1,4)),
F213="Dining",INDEX(lists!I:I,RANDBETWEEN(1,2)),
F213="Kitchen",INDEX(lists!J:J,RANDBETWEEN(1,4)),
F213="Office",INDEX(lists!K:K,RANDBETWEEN(1,3)),
F213="Household Essentials",INDEX(lists!L:L,RANDBETWEEN(1,3))
)
</f>
        <v>Dresser</v>
      </c>
      <c r="H213" s="2">
        <f t="shared" si="6"/>
        <v>2</v>
      </c>
      <c r="I213" s="2">
        <f t="shared" si="7"/>
        <v>2</v>
      </c>
      <c r="J213" s="2" t="str">
        <f t="array" ref="J213">INDEX(lists!A:A,RANDBETWEEN(1,19))
</f>
        <v>Jordan's Furniture</v>
      </c>
      <c r="K213" s="2" t="str">
        <f t="array" ref="K213">INDEX(lists!N:N,RANDBETWEEN(1,6))
</f>
        <v>Westbrook</v>
      </c>
      <c r="L213" s="2">
        <f t="shared" si="8"/>
        <v>2</v>
      </c>
      <c r="M213" s="2" t="str">
        <f t="array" ref="M213">INDEX(lists!O:O,RANDBETWEEN(1,2))
</f>
        <v>Pickup</v>
      </c>
      <c r="N213" s="2">
        <f t="shared" si="9"/>
        <v>5</v>
      </c>
    </row>
    <row r="214">
      <c r="A214" s="2">
        <f t="shared" si="1"/>
        <v>213</v>
      </c>
      <c r="B214" s="3">
        <f t="shared" si="2"/>
        <v>45573</v>
      </c>
      <c r="C214" s="3">
        <f t="shared" si="3"/>
        <v>45584</v>
      </c>
      <c r="D214" s="3" t="str">
        <f t="shared" si="4"/>
        <v>Completed</v>
      </c>
      <c r="E214" s="2">
        <f t="shared" si="5"/>
        <v>11</v>
      </c>
      <c r="F214" s="2" t="str">
        <f t="array" ref="F214">INDEX(lists!F:F,RANDBETWEEN(1,6))
</f>
        <v>Kitchen</v>
      </c>
      <c r="G214" s="2" t="str">
        <f t="array" ref="G214">IFS(
F214="Bedroom",INDEX(lists!G:G,RANDBETWEEN(1,4)),
F214="Living Room",INDEX(lists!H:H,RANDBETWEEN(1,4)),
F214="Dining",INDEX(lists!I:I,RANDBETWEEN(1,2)),
F214="Kitchen",INDEX(lists!J:J,RANDBETWEEN(1,4)),
F214="Office",INDEX(lists!K:K,RANDBETWEEN(1,3)),
F214="Household Essentials",INDEX(lists!L:L,RANDBETWEEN(1,3))
)
</f>
        <v>Dishes</v>
      </c>
      <c r="H214" s="2">
        <f t="shared" si="6"/>
        <v>2</v>
      </c>
      <c r="I214" s="2">
        <f t="shared" si="7"/>
        <v>1</v>
      </c>
      <c r="J214" s="2" t="str">
        <f t="array" ref="J214">INDEX(lists!A:A,RANDBETWEEN(1,19))
</f>
        <v>Developers Collaborative</v>
      </c>
      <c r="K214" s="2" t="str">
        <f t="array" ref="K214">INDEX(lists!N:N,RANDBETWEEN(1,6))
</f>
        <v>South Portland</v>
      </c>
      <c r="L214" s="2">
        <f t="shared" si="8"/>
        <v>5</v>
      </c>
      <c r="M214" s="2" t="str">
        <f t="array" ref="M214">INDEX(lists!O:O,RANDBETWEEN(1,2))
</f>
        <v>Delivery</v>
      </c>
      <c r="N214" s="2">
        <f t="shared" si="9"/>
        <v>3</v>
      </c>
    </row>
    <row r="215">
      <c r="A215" s="2">
        <f t="shared" si="1"/>
        <v>214</v>
      </c>
      <c r="B215" s="3">
        <f t="shared" si="2"/>
        <v>45361</v>
      </c>
      <c r="C215" s="3">
        <f t="shared" si="3"/>
        <v>45376</v>
      </c>
      <c r="D215" s="3" t="str">
        <f t="shared" si="4"/>
        <v>Completed</v>
      </c>
      <c r="E215" s="2">
        <f t="shared" si="5"/>
        <v>15</v>
      </c>
      <c r="F215" s="2" t="str">
        <f t="array" ref="F215">INDEX(lists!F:F,RANDBETWEEN(1,6))
</f>
        <v>Bedroom</v>
      </c>
      <c r="G215" s="2" t="str">
        <f t="array" ref="G215">IFS(
F215="Bedroom",INDEX(lists!G:G,RANDBETWEEN(1,4)),
F215="Living Room",INDEX(lists!H:H,RANDBETWEEN(1,4)),
F215="Dining",INDEX(lists!I:I,RANDBETWEEN(1,2)),
F215="Kitchen",INDEX(lists!J:J,RANDBETWEEN(1,4)),
F215="Office",INDEX(lists!K:K,RANDBETWEEN(1,3)),
F215="Household Essentials",INDEX(lists!L:L,RANDBETWEEN(1,3))
)
</f>
        <v>Dresser</v>
      </c>
      <c r="H215" s="2">
        <f t="shared" si="6"/>
        <v>3</v>
      </c>
      <c r="I215" s="2">
        <f t="shared" si="7"/>
        <v>2</v>
      </c>
      <c r="J215" s="2" t="str">
        <f t="array" ref="J215">INDEX(lists!A:A,RANDBETWEEN(1,19))
</f>
        <v>Coffee By Design</v>
      </c>
      <c r="K215" s="2" t="str">
        <f t="array" ref="K215">INDEX(lists!N:N,RANDBETWEEN(1,6))
</f>
        <v>Biddeford</v>
      </c>
      <c r="L215" s="2">
        <f t="shared" si="8"/>
        <v>1</v>
      </c>
      <c r="M215" s="2" t="str">
        <f t="array" ref="M215">INDEX(lists!O:O,RANDBETWEEN(1,2))
</f>
        <v>Pickup</v>
      </c>
      <c r="N215" s="2">
        <f t="shared" si="9"/>
        <v>4</v>
      </c>
    </row>
    <row r="216">
      <c r="A216" s="2">
        <f t="shared" si="1"/>
        <v>215</v>
      </c>
      <c r="B216" s="3">
        <f t="shared" si="2"/>
        <v>45377</v>
      </c>
      <c r="C216" s="3">
        <f t="shared" si="3"/>
        <v>45382</v>
      </c>
      <c r="D216" s="3" t="str">
        <f t="shared" si="4"/>
        <v>Completed</v>
      </c>
      <c r="E216" s="2">
        <f t="shared" si="5"/>
        <v>5</v>
      </c>
      <c r="F216" s="2" t="str">
        <f t="array" ref="F216">INDEX(lists!F:F,RANDBETWEEN(1,6))
</f>
        <v>Kitchen</v>
      </c>
      <c r="G216" s="2" t="str">
        <f t="array" ref="G216">IFS(
F216="Bedroom",INDEX(lists!G:G,RANDBETWEEN(1,4)),
F216="Living Room",INDEX(lists!H:H,RANDBETWEEN(1,4)),
F216="Dining",INDEX(lists!I:I,RANDBETWEEN(1,2)),
F216="Kitchen",INDEX(lists!J:J,RANDBETWEEN(1,4)),
F216="Office",INDEX(lists!K:K,RANDBETWEEN(1,3)),
F216="Household Essentials",INDEX(lists!L:L,RANDBETWEEN(1,3))
)
</f>
        <v>Dishes</v>
      </c>
      <c r="H216" s="2">
        <f t="shared" si="6"/>
        <v>1</v>
      </c>
      <c r="I216" s="2">
        <f t="shared" si="7"/>
        <v>1</v>
      </c>
      <c r="J216" s="2" t="str">
        <f t="array" ref="J216">INDEX(lists!A:A,RANDBETWEEN(1,19))
</f>
        <v>Coffee By Design</v>
      </c>
      <c r="K216" s="2" t="str">
        <f t="array" ref="K216">INDEX(lists!N:N,RANDBETWEEN(1,6))
</f>
        <v>South Portland</v>
      </c>
      <c r="L216" s="2">
        <f t="shared" si="8"/>
        <v>1</v>
      </c>
      <c r="M216" s="2" t="str">
        <f t="array" ref="M216">INDEX(lists!O:O,RANDBETWEEN(1,2))
</f>
        <v>Delivery</v>
      </c>
      <c r="N216" s="2">
        <f t="shared" si="9"/>
        <v>6</v>
      </c>
    </row>
    <row r="217">
      <c r="A217" s="2">
        <f t="shared" si="1"/>
        <v>216</v>
      </c>
      <c r="B217" s="3">
        <f t="shared" si="2"/>
        <v>45436</v>
      </c>
      <c r="C217" s="3">
        <f t="shared" si="3"/>
        <v>45440</v>
      </c>
      <c r="D217" s="3" t="str">
        <f t="shared" si="4"/>
        <v>Completed</v>
      </c>
      <c r="E217" s="2">
        <f t="shared" si="5"/>
        <v>4</v>
      </c>
      <c r="F217" s="2" t="str">
        <f t="array" ref="F217">INDEX(lists!F:F,RANDBETWEEN(1,6))
</f>
        <v>Dining</v>
      </c>
      <c r="G217" s="2" t="str">
        <f t="array" ref="G217">IFS(
F217="Bedroom",INDEX(lists!G:G,RANDBETWEEN(1,4)),
F217="Living Room",INDEX(lists!H:H,RANDBETWEEN(1,4)),
F217="Dining",INDEX(lists!I:I,RANDBETWEEN(1,2)),
F217="Kitchen",INDEX(lists!J:J,RANDBETWEEN(1,4)),
F217="Office",INDEX(lists!K:K,RANDBETWEEN(1,3)),
F217="Household Essentials",INDEX(lists!L:L,RANDBETWEEN(1,3))
)
</f>
        <v>Dining Table</v>
      </c>
      <c r="H217" s="2">
        <f t="shared" si="6"/>
        <v>2</v>
      </c>
      <c r="I217" s="2">
        <f t="shared" si="7"/>
        <v>2</v>
      </c>
      <c r="J217" s="2" t="str">
        <f t="array" ref="J217">INDEX(lists!A:A,RANDBETWEEN(1,19))
</f>
        <v>Jordan's Furniture</v>
      </c>
      <c r="K217" s="2" t="str">
        <f t="array" ref="K217">INDEX(lists!N:N,RANDBETWEEN(1,6))
</f>
        <v>Falmouth</v>
      </c>
      <c r="L217" s="2">
        <f t="shared" si="8"/>
        <v>6</v>
      </c>
      <c r="M217" s="2" t="str">
        <f t="array" ref="M217">INDEX(lists!O:O,RANDBETWEEN(1,2))
</f>
        <v>Delivery</v>
      </c>
      <c r="N217" s="2">
        <f t="shared" si="9"/>
        <v>4</v>
      </c>
    </row>
    <row r="218">
      <c r="A218" s="2">
        <f t="shared" si="1"/>
        <v>217</v>
      </c>
      <c r="B218" s="3">
        <f t="shared" si="2"/>
        <v>45819</v>
      </c>
      <c r="C218" s="3" t="str">
        <f t="shared" si="3"/>
        <v/>
      </c>
      <c r="D218" s="3" t="str">
        <f t="shared" si="4"/>
        <v>Pending</v>
      </c>
      <c r="E218" s="2" t="str">
        <f t="shared" si="5"/>
        <v/>
      </c>
      <c r="F218" s="2" t="str">
        <f t="array" ref="F218">INDEX(lists!F:F,RANDBETWEEN(1,6))
</f>
        <v>Dining</v>
      </c>
      <c r="G218" s="2" t="str">
        <f t="array" ref="G218">IFS(
F218="Bedroom",INDEX(lists!G:G,RANDBETWEEN(1,4)),
F218="Living Room",INDEX(lists!H:H,RANDBETWEEN(1,4)),
F218="Dining",INDEX(lists!I:I,RANDBETWEEN(1,2)),
F218="Kitchen",INDEX(lists!J:J,RANDBETWEEN(1,4)),
F218="Office",INDEX(lists!K:K,RANDBETWEEN(1,3)),
F218="Household Essentials",INDEX(lists!L:L,RANDBETWEEN(1,3))
)
</f>
        <v>Dining Chair</v>
      </c>
      <c r="H218" s="2">
        <f t="shared" si="6"/>
        <v>4</v>
      </c>
      <c r="I218" s="2" t="str">
        <f t="shared" si="7"/>
        <v/>
      </c>
      <c r="J218" s="2" t="str">
        <f t="array" ref="J218">INDEX(lists!A:A,RANDBETWEEN(1,19))
</f>
        <v>Center for Real Estate Studies</v>
      </c>
      <c r="K218" s="2" t="str">
        <f t="array" ref="K218">INDEX(lists!N:N,RANDBETWEEN(1,6))
</f>
        <v>Westbrook</v>
      </c>
      <c r="L218" s="2">
        <f t="shared" si="8"/>
        <v>1</v>
      </c>
      <c r="M218" s="2" t="str">
        <f t="array" ref="M218">INDEX(lists!O:O,RANDBETWEEN(1,2))
</f>
        <v>Delivery</v>
      </c>
      <c r="N218" s="2">
        <f t="shared" si="9"/>
        <v>5</v>
      </c>
    </row>
    <row r="219">
      <c r="A219" s="2">
        <f t="shared" si="1"/>
        <v>218</v>
      </c>
      <c r="B219" s="3">
        <f t="shared" si="2"/>
        <v>45577</v>
      </c>
      <c r="C219" s="3">
        <f t="shared" si="3"/>
        <v>45584</v>
      </c>
      <c r="D219" s="3" t="str">
        <f t="shared" si="4"/>
        <v>Completed</v>
      </c>
      <c r="E219" s="2">
        <f t="shared" si="5"/>
        <v>7</v>
      </c>
      <c r="F219" s="2" t="str">
        <f t="array" ref="F219">INDEX(lists!F:F,RANDBETWEEN(1,6))
</f>
        <v>Office</v>
      </c>
      <c r="G219" s="2" t="str">
        <f t="array" ref="G219">IFS(
F219="Bedroom",INDEX(lists!G:G,RANDBETWEEN(1,4)),
F219="Living Room",INDEX(lists!H:H,RANDBETWEEN(1,4)),
F219="Dining",INDEX(lists!I:I,RANDBETWEEN(1,2)),
F219="Kitchen",INDEX(lists!J:J,RANDBETWEEN(1,4)),
F219="Office",INDEX(lists!K:K,RANDBETWEEN(1,3)),
F219="Household Essentials",INDEX(lists!L:L,RANDBETWEEN(1,3))
)
</f>
        <v>Desk</v>
      </c>
      <c r="H219" s="2">
        <f t="shared" si="6"/>
        <v>4</v>
      </c>
      <c r="I219" s="2">
        <f t="shared" si="7"/>
        <v>2</v>
      </c>
      <c r="J219" s="2" t="str">
        <f t="array" ref="J219">INDEX(lists!A:A,RANDBETWEEN(1,19))
</f>
        <v>Saco &amp; Biddeford Savings</v>
      </c>
      <c r="K219" s="2" t="str">
        <f t="array" ref="K219">INDEX(lists!N:N,RANDBETWEEN(1,6))
</f>
        <v>South Portland</v>
      </c>
      <c r="L219" s="2">
        <f t="shared" si="8"/>
        <v>4</v>
      </c>
      <c r="M219" s="2" t="str">
        <f t="array" ref="M219">INDEX(lists!O:O,RANDBETWEEN(1,2))
</f>
        <v>Pickup</v>
      </c>
      <c r="N219" s="2">
        <f t="shared" si="9"/>
        <v>4</v>
      </c>
    </row>
    <row r="220">
      <c r="A220" s="2">
        <f t="shared" si="1"/>
        <v>219</v>
      </c>
      <c r="B220" s="3">
        <f t="shared" si="2"/>
        <v>45733</v>
      </c>
      <c r="C220" s="3">
        <f t="shared" si="3"/>
        <v>45740</v>
      </c>
      <c r="D220" s="3" t="str">
        <f t="shared" si="4"/>
        <v>Completed</v>
      </c>
      <c r="E220" s="2">
        <f t="shared" si="5"/>
        <v>7</v>
      </c>
      <c r="F220" s="2" t="str">
        <f t="array" ref="F220">INDEX(lists!F:F,RANDBETWEEN(1,6))
</f>
        <v>Living Room</v>
      </c>
      <c r="G220" s="2" t="str">
        <f t="array" ref="G220">IFS(
F220="Bedroom",INDEX(lists!G:G,RANDBETWEEN(1,4)),
F220="Living Room",INDEX(lists!H:H,RANDBETWEEN(1,4)),
F220="Dining",INDEX(lists!I:I,RANDBETWEEN(1,2)),
F220="Kitchen",INDEX(lists!J:J,RANDBETWEEN(1,4)),
F220="Office",INDEX(lists!K:K,RANDBETWEEN(1,3)),
F220="Household Essentials",INDEX(lists!L:L,RANDBETWEEN(1,3))
)
</f>
        <v>TV Stand</v>
      </c>
      <c r="H220" s="2">
        <f t="shared" si="6"/>
        <v>2</v>
      </c>
      <c r="I220" s="2">
        <f t="shared" si="7"/>
        <v>1</v>
      </c>
      <c r="J220" s="2" t="str">
        <f t="array" ref="J220">INDEX(lists!A:A,RANDBETWEEN(1,19))
</f>
        <v>Portland Harbor Group Raymond James</v>
      </c>
      <c r="K220" s="2" t="str">
        <f t="array" ref="K220">INDEX(lists!N:N,RANDBETWEEN(1,6))
</f>
        <v>Falmouth</v>
      </c>
      <c r="L220" s="2">
        <f t="shared" si="8"/>
        <v>3</v>
      </c>
      <c r="M220" s="2" t="str">
        <f t="array" ref="M220">INDEX(lists!O:O,RANDBETWEEN(1,2))
</f>
        <v>Delivery</v>
      </c>
      <c r="N220" s="2">
        <f t="shared" si="9"/>
        <v>1</v>
      </c>
    </row>
    <row r="221">
      <c r="A221" s="2">
        <f t="shared" si="1"/>
        <v>220</v>
      </c>
      <c r="B221" s="3">
        <f t="shared" si="2"/>
        <v>45817</v>
      </c>
      <c r="C221" s="3">
        <f t="shared" si="3"/>
        <v>45828</v>
      </c>
      <c r="D221" s="3" t="str">
        <f t="shared" si="4"/>
        <v>Completed</v>
      </c>
      <c r="E221" s="2">
        <f t="shared" si="5"/>
        <v>11</v>
      </c>
      <c r="F221" s="2" t="str">
        <f t="array" ref="F221">INDEX(lists!F:F,RANDBETWEEN(1,6))
</f>
        <v>Living Room</v>
      </c>
      <c r="G221" s="2" t="str">
        <f t="array" ref="G221">IFS(
F221="Bedroom",INDEX(lists!G:G,RANDBETWEEN(1,4)),
F221="Living Room",INDEX(lists!H:H,RANDBETWEEN(1,4)),
F221="Dining",INDEX(lists!I:I,RANDBETWEEN(1,2)),
F221="Kitchen",INDEX(lists!J:J,RANDBETWEEN(1,4)),
F221="Office",INDEX(lists!K:K,RANDBETWEEN(1,3)),
F221="Household Essentials",INDEX(lists!L:L,RANDBETWEEN(1,3))
)
</f>
        <v>Armchair</v>
      </c>
      <c r="H221" s="2">
        <f t="shared" si="6"/>
        <v>3</v>
      </c>
      <c r="I221" s="2">
        <f t="shared" si="7"/>
        <v>2</v>
      </c>
      <c r="J221" s="2" t="str">
        <f t="array" ref="J221">INDEX(lists!A:A,RANDBETWEEN(1,19))
</f>
        <v>Center for Real Estate Studies</v>
      </c>
      <c r="K221" s="2" t="str">
        <f t="array" ref="K221">INDEX(lists!N:N,RANDBETWEEN(1,6))
</f>
        <v>South Portland</v>
      </c>
      <c r="L221" s="2">
        <f t="shared" si="8"/>
        <v>2</v>
      </c>
      <c r="M221" s="2" t="str">
        <f t="array" ref="M221">INDEX(lists!O:O,RANDBETWEEN(1,2))
</f>
        <v>Delivery</v>
      </c>
      <c r="N221" s="2">
        <f t="shared" si="9"/>
        <v>6</v>
      </c>
    </row>
    <row r="222">
      <c r="A222" s="2">
        <f t="shared" si="1"/>
        <v>221</v>
      </c>
      <c r="B222" s="3">
        <f t="shared" si="2"/>
        <v>45651</v>
      </c>
      <c r="C222" s="3">
        <f t="shared" si="3"/>
        <v>45653</v>
      </c>
      <c r="D222" s="3" t="str">
        <f t="shared" si="4"/>
        <v>Completed</v>
      </c>
      <c r="E222" s="2">
        <f t="shared" si="5"/>
        <v>2</v>
      </c>
      <c r="F222" s="2" t="str">
        <f t="array" ref="F222">INDEX(lists!F:F,RANDBETWEEN(1,6))
</f>
        <v>Office</v>
      </c>
      <c r="G222" s="2" t="str">
        <f t="array" ref="G222">IFS(
F222="Bedroom",INDEX(lists!G:G,RANDBETWEEN(1,4)),
F222="Living Room",INDEX(lists!H:H,RANDBETWEEN(1,4)),
F222="Dining",INDEX(lists!I:I,RANDBETWEEN(1,2)),
F222="Kitchen",INDEX(lists!J:J,RANDBETWEEN(1,4)),
F222="Office",INDEX(lists!K:K,RANDBETWEEN(1,3)),
F222="Household Essentials",INDEX(lists!L:L,RANDBETWEEN(1,3))
)
</f>
        <v>Office Chair</v>
      </c>
      <c r="H222" s="2">
        <f t="shared" si="6"/>
        <v>4</v>
      </c>
      <c r="I222" s="2">
        <f t="shared" si="7"/>
        <v>4</v>
      </c>
      <c r="J222" s="2" t="str">
        <f t="array" ref="J222">INDEX(lists!A:A,RANDBETWEEN(1,19))
</f>
        <v>Saco &amp; Biddeford Savings</v>
      </c>
      <c r="K222" s="2" t="str">
        <f t="array" ref="K222">INDEX(lists!N:N,RANDBETWEEN(1,6))
</f>
        <v>Westbrook</v>
      </c>
      <c r="L222" s="2">
        <f t="shared" si="8"/>
        <v>1</v>
      </c>
      <c r="M222" s="2" t="str">
        <f t="array" ref="M222">INDEX(lists!O:O,RANDBETWEEN(1,2))
</f>
        <v>Delivery</v>
      </c>
      <c r="N222" s="2">
        <f t="shared" si="9"/>
        <v>3</v>
      </c>
    </row>
    <row r="223">
      <c r="A223" s="2">
        <f t="shared" si="1"/>
        <v>222</v>
      </c>
      <c r="B223" s="3">
        <f t="shared" si="2"/>
        <v>45667</v>
      </c>
      <c r="C223" s="3">
        <f t="shared" si="3"/>
        <v>45669</v>
      </c>
      <c r="D223" s="3" t="str">
        <f t="shared" si="4"/>
        <v>Completed</v>
      </c>
      <c r="E223" s="2">
        <f t="shared" si="5"/>
        <v>2</v>
      </c>
      <c r="F223" s="2" t="str">
        <f t="array" ref="F223">INDEX(lists!F:F,RANDBETWEEN(1,6))
</f>
        <v>Dining</v>
      </c>
      <c r="G223" s="2" t="str">
        <f t="array" ref="G223">IFS(
F223="Bedroom",INDEX(lists!G:G,RANDBETWEEN(1,4)),
F223="Living Room",INDEX(lists!H:H,RANDBETWEEN(1,4)),
F223="Dining",INDEX(lists!I:I,RANDBETWEEN(1,2)),
F223="Kitchen",INDEX(lists!J:J,RANDBETWEEN(1,4)),
F223="Office",INDEX(lists!K:K,RANDBETWEEN(1,3)),
F223="Household Essentials",INDEX(lists!L:L,RANDBETWEEN(1,3))
)
</f>
        <v>Dining Table</v>
      </c>
      <c r="H223" s="2">
        <f t="shared" si="6"/>
        <v>4</v>
      </c>
      <c r="I223" s="2">
        <f t="shared" si="7"/>
        <v>2</v>
      </c>
      <c r="J223" s="2" t="str">
        <f t="array" ref="J223">INDEX(lists!A:A,RANDBETWEEN(1,19))
</f>
        <v>Developers Collaborative</v>
      </c>
      <c r="K223" s="2" t="str">
        <f t="array" ref="K223">INDEX(lists!N:N,RANDBETWEEN(1,6))
</f>
        <v>South Portland</v>
      </c>
      <c r="L223" s="2">
        <f t="shared" si="8"/>
        <v>5</v>
      </c>
      <c r="M223" s="2" t="str">
        <f t="array" ref="M223">INDEX(lists!O:O,RANDBETWEEN(1,2))
</f>
        <v>Pickup</v>
      </c>
      <c r="N223" s="2">
        <f t="shared" si="9"/>
        <v>6</v>
      </c>
    </row>
    <row r="224">
      <c r="A224" s="2">
        <f t="shared" si="1"/>
        <v>223</v>
      </c>
      <c r="B224" s="3">
        <f t="shared" si="2"/>
        <v>45754</v>
      </c>
      <c r="C224" s="3">
        <f t="shared" si="3"/>
        <v>45758</v>
      </c>
      <c r="D224" s="3" t="str">
        <f t="shared" si="4"/>
        <v>Completed</v>
      </c>
      <c r="E224" s="2">
        <f t="shared" si="5"/>
        <v>4</v>
      </c>
      <c r="F224" s="2" t="str">
        <f t="array" ref="F224">INDEX(lists!F:F,RANDBETWEEN(1,6))
</f>
        <v>Dining</v>
      </c>
      <c r="G224" s="2" t="str">
        <f t="array" ref="G224">IFS(
F224="Bedroom",INDEX(lists!G:G,RANDBETWEEN(1,4)),
F224="Living Room",INDEX(lists!H:H,RANDBETWEEN(1,4)),
F224="Dining",INDEX(lists!I:I,RANDBETWEEN(1,2)),
F224="Kitchen",INDEX(lists!J:J,RANDBETWEEN(1,4)),
F224="Office",INDEX(lists!K:K,RANDBETWEEN(1,3)),
F224="Household Essentials",INDEX(lists!L:L,RANDBETWEEN(1,3))
)
</f>
        <v>Dining Table</v>
      </c>
      <c r="H224" s="2">
        <f t="shared" si="6"/>
        <v>3</v>
      </c>
      <c r="I224" s="2">
        <f t="shared" si="7"/>
        <v>2</v>
      </c>
      <c r="J224" s="2" t="str">
        <f t="array" ref="J224">INDEX(lists!A:A,RANDBETWEEN(1,19))
</f>
        <v>Spiritual Workers</v>
      </c>
      <c r="K224" s="2" t="str">
        <f t="array" ref="K224">INDEX(lists!N:N,RANDBETWEEN(1,6))
</f>
        <v>Biddeford</v>
      </c>
      <c r="L224" s="2">
        <f t="shared" si="8"/>
        <v>3</v>
      </c>
      <c r="M224" s="2" t="str">
        <f t="array" ref="M224">INDEX(lists!O:O,RANDBETWEEN(1,2))
</f>
        <v>Pickup</v>
      </c>
      <c r="N224" s="2">
        <f t="shared" si="9"/>
        <v>3</v>
      </c>
    </row>
    <row r="225">
      <c r="A225" s="2">
        <f t="shared" si="1"/>
        <v>224</v>
      </c>
      <c r="B225" s="3">
        <f t="shared" si="2"/>
        <v>45450</v>
      </c>
      <c r="C225" s="3">
        <f t="shared" si="3"/>
        <v>45481</v>
      </c>
      <c r="D225" s="3" t="str">
        <f t="shared" si="4"/>
        <v>Completed</v>
      </c>
      <c r="E225" s="2">
        <f t="shared" si="5"/>
        <v>31</v>
      </c>
      <c r="F225" s="2" t="str">
        <f t="array" ref="F225">INDEX(lists!F:F,RANDBETWEEN(1,6))
</f>
        <v>Office</v>
      </c>
      <c r="G225" s="2" t="str">
        <f t="array" ref="G225">IFS(
F225="Bedroom",INDEX(lists!G:G,RANDBETWEEN(1,4)),
F225="Living Room",INDEX(lists!H:H,RANDBETWEEN(1,4)),
F225="Dining",INDEX(lists!I:I,RANDBETWEEN(1,2)),
F225="Kitchen",INDEX(lists!J:J,RANDBETWEEN(1,4)),
F225="Office",INDEX(lists!K:K,RANDBETWEEN(1,3)),
F225="Household Essentials",INDEX(lists!L:L,RANDBETWEEN(1,3))
)
</f>
        <v>Bookshelf</v>
      </c>
      <c r="H225" s="2">
        <f t="shared" si="6"/>
        <v>2</v>
      </c>
      <c r="I225" s="2">
        <f t="shared" si="7"/>
        <v>1</v>
      </c>
      <c r="J225" s="2" t="str">
        <f t="array" ref="J225">INDEX(lists!A:A,RANDBETWEEN(1,19))
</f>
        <v>Diversified</v>
      </c>
      <c r="K225" s="2" t="str">
        <f t="array" ref="K225">INDEX(lists!N:N,RANDBETWEEN(1,6))
</f>
        <v>Biddeford</v>
      </c>
      <c r="L225" s="2">
        <f t="shared" si="8"/>
        <v>6</v>
      </c>
      <c r="M225" s="2" t="str">
        <f t="array" ref="M225">INDEX(lists!O:O,RANDBETWEEN(1,2))
</f>
        <v>Delivery</v>
      </c>
      <c r="N225" s="2">
        <f t="shared" si="9"/>
        <v>3</v>
      </c>
    </row>
    <row r="226">
      <c r="A226" s="2">
        <f t="shared" si="1"/>
        <v>225</v>
      </c>
      <c r="B226" s="3">
        <f t="shared" si="2"/>
        <v>45445</v>
      </c>
      <c r="C226" s="3" t="str">
        <f t="shared" si="3"/>
        <v/>
      </c>
      <c r="D226" s="3" t="str">
        <f t="shared" si="4"/>
        <v>Cancelled</v>
      </c>
      <c r="E226" s="2" t="str">
        <f t="shared" si="5"/>
        <v/>
      </c>
      <c r="F226" s="2" t="str">
        <f t="array" ref="F226">INDEX(lists!F:F,RANDBETWEEN(1,6))
</f>
        <v>Kitchen</v>
      </c>
      <c r="G226" s="2" t="str">
        <f t="array" ref="G226">IFS(
F226="Bedroom",INDEX(lists!G:G,RANDBETWEEN(1,4)),
F226="Living Room",INDEX(lists!H:H,RANDBETWEEN(1,4)),
F226="Dining",INDEX(lists!I:I,RANDBETWEEN(1,2)),
F226="Kitchen",INDEX(lists!J:J,RANDBETWEEN(1,4)),
F226="Office",INDEX(lists!K:K,RANDBETWEEN(1,3)),
F226="Household Essentials",INDEX(lists!L:L,RANDBETWEEN(1,3))
)
</f>
        <v>Dishes</v>
      </c>
      <c r="H226" s="2">
        <f t="shared" si="6"/>
        <v>4</v>
      </c>
      <c r="I226" s="2" t="str">
        <f t="shared" si="7"/>
        <v/>
      </c>
      <c r="J226" s="2" t="str">
        <f t="array" ref="J226">INDEX(lists!A:A,RANDBETWEEN(1,19))
</f>
        <v>J.B Brown and Sons</v>
      </c>
      <c r="K226" s="2" t="str">
        <f t="array" ref="K226">INDEX(lists!N:N,RANDBETWEEN(1,6))
</f>
        <v>Biddeford</v>
      </c>
      <c r="L226" s="2">
        <f t="shared" si="8"/>
        <v>5</v>
      </c>
      <c r="M226" s="2" t="str">
        <f t="array" ref="M226">INDEX(lists!O:O,RANDBETWEEN(1,2))
</f>
        <v>Pickup</v>
      </c>
      <c r="N226" s="2">
        <f t="shared" si="9"/>
        <v>5</v>
      </c>
    </row>
    <row r="227">
      <c r="A227" s="2">
        <f t="shared" si="1"/>
        <v>226</v>
      </c>
      <c r="B227" s="3">
        <f t="shared" si="2"/>
        <v>45307</v>
      </c>
      <c r="C227" s="3" t="str">
        <f t="shared" si="3"/>
        <v/>
      </c>
      <c r="D227" s="3" t="str">
        <f t="shared" si="4"/>
        <v>Pending</v>
      </c>
      <c r="E227" s="2" t="str">
        <f t="shared" si="5"/>
        <v/>
      </c>
      <c r="F227" s="2" t="str">
        <f t="array" ref="F227">INDEX(lists!F:F,RANDBETWEEN(1,6))
</f>
        <v>Office</v>
      </c>
      <c r="G227" s="2" t="str">
        <f t="array" ref="G227">IFS(
F227="Bedroom",INDEX(lists!G:G,RANDBETWEEN(1,4)),
F227="Living Room",INDEX(lists!H:H,RANDBETWEEN(1,4)),
F227="Dining",INDEX(lists!I:I,RANDBETWEEN(1,2)),
F227="Kitchen",INDEX(lists!J:J,RANDBETWEEN(1,4)),
F227="Office",INDEX(lists!K:K,RANDBETWEEN(1,3)),
F227="Household Essentials",INDEX(lists!L:L,RANDBETWEEN(1,3))
)
</f>
        <v>Office Chair</v>
      </c>
      <c r="H227" s="2">
        <f t="shared" si="6"/>
        <v>1</v>
      </c>
      <c r="I227" s="2" t="str">
        <f t="shared" si="7"/>
        <v/>
      </c>
      <c r="J227" s="2" t="str">
        <f t="array" ref="J227">INDEX(lists!A:A,RANDBETWEEN(1,19))
</f>
        <v>Shutterbugs 4 Charity</v>
      </c>
      <c r="K227" s="2" t="str">
        <f t="array" ref="K227">INDEX(lists!N:N,RANDBETWEEN(1,6))
</f>
        <v>South Portland</v>
      </c>
      <c r="L227" s="2">
        <f t="shared" si="8"/>
        <v>2</v>
      </c>
      <c r="M227" s="2" t="str">
        <f t="array" ref="M227">INDEX(lists!O:O,RANDBETWEEN(1,2))
</f>
        <v>Delivery</v>
      </c>
      <c r="N227" s="2">
        <f t="shared" si="9"/>
        <v>4</v>
      </c>
    </row>
    <row r="228">
      <c r="A228" s="2">
        <f t="shared" si="1"/>
        <v>227</v>
      </c>
      <c r="B228" s="3">
        <f t="shared" si="2"/>
        <v>45312</v>
      </c>
      <c r="C228" s="3" t="str">
        <f t="shared" si="3"/>
        <v/>
      </c>
      <c r="D228" s="3" t="str">
        <f t="shared" si="4"/>
        <v>Pending</v>
      </c>
      <c r="E228" s="2" t="str">
        <f t="shared" si="5"/>
        <v/>
      </c>
      <c r="F228" s="2" t="str">
        <f t="array" ref="F228">INDEX(lists!F:F,RANDBETWEEN(1,6))
</f>
        <v>Household Essentials</v>
      </c>
      <c r="G228" s="2" t="str">
        <f t="array" ref="G228">IFS(
F228="Bedroom",INDEX(lists!G:G,RANDBETWEEN(1,4)),
F228="Living Room",INDEX(lists!H:H,RANDBETWEEN(1,4)),
F228="Dining",INDEX(lists!I:I,RANDBETWEEN(1,2)),
F228="Kitchen",INDEX(lists!J:J,RANDBETWEEN(1,4)),
F228="Office",INDEX(lists!K:K,RANDBETWEEN(1,3)),
F228="Household Essentials",INDEX(lists!L:L,RANDBETWEEN(1,3))
)
</f>
        <v>Lamps</v>
      </c>
      <c r="H228" s="2">
        <f t="shared" si="6"/>
        <v>2</v>
      </c>
      <c r="I228" s="2" t="str">
        <f t="shared" si="7"/>
        <v/>
      </c>
      <c r="J228" s="2" t="str">
        <f t="array" ref="J228">INDEX(lists!A:A,RANDBETWEEN(1,19))
</f>
        <v>NewHeight Group</v>
      </c>
      <c r="K228" s="2" t="str">
        <f t="array" ref="K228">INDEX(lists!N:N,RANDBETWEEN(1,6))
</f>
        <v>Falmouth</v>
      </c>
      <c r="L228" s="2">
        <f t="shared" si="8"/>
        <v>6</v>
      </c>
      <c r="M228" s="2" t="str">
        <f t="array" ref="M228">INDEX(lists!O:O,RANDBETWEEN(1,2))
</f>
        <v>Pickup</v>
      </c>
      <c r="N228" s="2">
        <f t="shared" si="9"/>
        <v>5</v>
      </c>
    </row>
    <row r="229">
      <c r="A229" s="2">
        <f t="shared" si="1"/>
        <v>228</v>
      </c>
      <c r="B229" s="3">
        <f t="shared" si="2"/>
        <v>45692</v>
      </c>
      <c r="C229" s="3">
        <f t="shared" si="3"/>
        <v>45703</v>
      </c>
      <c r="D229" s="3" t="str">
        <f t="shared" si="4"/>
        <v>Completed</v>
      </c>
      <c r="E229" s="2">
        <f t="shared" si="5"/>
        <v>11</v>
      </c>
      <c r="F229" s="2" t="str">
        <f t="array" ref="F229">INDEX(lists!F:F,RANDBETWEEN(1,6))
</f>
        <v>Kitchen</v>
      </c>
      <c r="G229" s="2" t="str">
        <f t="array" ref="G229">IFS(
F229="Bedroom",INDEX(lists!G:G,RANDBETWEEN(1,4)),
F229="Living Room",INDEX(lists!H:H,RANDBETWEEN(1,4)),
F229="Dining",INDEX(lists!I:I,RANDBETWEEN(1,2)),
F229="Kitchen",INDEX(lists!J:J,RANDBETWEEN(1,4)),
F229="Office",INDEX(lists!K:K,RANDBETWEEN(1,3)),
F229="Household Essentials",INDEX(lists!L:L,RANDBETWEEN(1,3))
)
</f>
        <v>Pots &amp; Pans</v>
      </c>
      <c r="H229" s="2">
        <f t="shared" si="6"/>
        <v>3</v>
      </c>
      <c r="I229" s="2">
        <f t="shared" si="7"/>
        <v>1</v>
      </c>
      <c r="J229" s="2" t="str">
        <f t="array" ref="J229">INDEX(lists!A:A,RANDBETWEEN(1,19))
</f>
        <v>Westbrook Housing</v>
      </c>
      <c r="K229" s="2" t="str">
        <f t="array" ref="K229">INDEX(lists!N:N,RANDBETWEEN(1,6))
</f>
        <v>Scarborough</v>
      </c>
      <c r="L229" s="2">
        <f t="shared" si="8"/>
        <v>1</v>
      </c>
      <c r="M229" s="2" t="str">
        <f t="array" ref="M229">INDEX(lists!O:O,RANDBETWEEN(1,2))
</f>
        <v>Pickup</v>
      </c>
      <c r="N229" s="2">
        <f t="shared" si="9"/>
        <v>5</v>
      </c>
    </row>
    <row r="230">
      <c r="A230" s="2">
        <f t="shared" si="1"/>
        <v>229</v>
      </c>
      <c r="B230" s="3">
        <f t="shared" si="2"/>
        <v>45626</v>
      </c>
      <c r="C230" s="3">
        <f t="shared" si="3"/>
        <v>45636</v>
      </c>
      <c r="D230" s="3" t="str">
        <f t="shared" si="4"/>
        <v>Completed</v>
      </c>
      <c r="E230" s="2">
        <f t="shared" si="5"/>
        <v>10</v>
      </c>
      <c r="F230" s="2" t="str">
        <f t="array" ref="F230">INDEX(lists!F:F,RANDBETWEEN(1,6))
</f>
        <v>Dining</v>
      </c>
      <c r="G230" s="2" t="str">
        <f t="array" ref="G230">IFS(
F230="Bedroom",INDEX(lists!G:G,RANDBETWEEN(1,4)),
F230="Living Room",INDEX(lists!H:H,RANDBETWEEN(1,4)),
F230="Dining",INDEX(lists!I:I,RANDBETWEEN(1,2)),
F230="Kitchen",INDEX(lists!J:J,RANDBETWEEN(1,4)),
F230="Office",INDEX(lists!K:K,RANDBETWEEN(1,3)),
F230="Household Essentials",INDEX(lists!L:L,RANDBETWEEN(1,3))
)
</f>
        <v>Dining Chair</v>
      </c>
      <c r="H230" s="2">
        <f t="shared" si="6"/>
        <v>4</v>
      </c>
      <c r="I230" s="2">
        <f t="shared" si="7"/>
        <v>1</v>
      </c>
      <c r="J230" s="2" t="str">
        <f t="array" ref="J230">INDEX(lists!A:A,RANDBETWEEN(1,19))
</f>
        <v>GoGo Refill</v>
      </c>
      <c r="K230" s="2" t="str">
        <f t="array" ref="K230">INDEX(lists!N:N,RANDBETWEEN(1,6))
</f>
        <v>Biddeford</v>
      </c>
      <c r="L230" s="2">
        <f t="shared" si="8"/>
        <v>6</v>
      </c>
      <c r="M230" s="2" t="str">
        <f t="array" ref="M230">INDEX(lists!O:O,RANDBETWEEN(1,2))
</f>
        <v>Pickup</v>
      </c>
      <c r="N230" s="2">
        <f t="shared" si="9"/>
        <v>6</v>
      </c>
    </row>
    <row r="231">
      <c r="A231" s="2">
        <f t="shared" si="1"/>
        <v>230</v>
      </c>
      <c r="B231" s="3">
        <f t="shared" si="2"/>
        <v>45415</v>
      </c>
      <c r="C231" s="3">
        <f t="shared" si="3"/>
        <v>45424</v>
      </c>
      <c r="D231" s="3" t="str">
        <f t="shared" si="4"/>
        <v>Completed</v>
      </c>
      <c r="E231" s="2">
        <f t="shared" si="5"/>
        <v>9</v>
      </c>
      <c r="F231" s="2" t="str">
        <f t="array" ref="F231">INDEX(lists!F:F,RANDBETWEEN(1,6))
</f>
        <v>Kitchen</v>
      </c>
      <c r="G231" s="2" t="str">
        <f t="array" ref="G231">IFS(
F231="Bedroom",INDEX(lists!G:G,RANDBETWEEN(1,4)),
F231="Living Room",INDEX(lists!H:H,RANDBETWEEN(1,4)),
F231="Dining",INDEX(lists!I:I,RANDBETWEEN(1,2)),
F231="Kitchen",INDEX(lists!J:J,RANDBETWEEN(1,4)),
F231="Office",INDEX(lists!K:K,RANDBETWEEN(1,3)),
F231="Household Essentials",INDEX(lists!L:L,RANDBETWEEN(1,3))
)
</f>
        <v>Small Appliances</v>
      </c>
      <c r="H231" s="2">
        <f t="shared" si="6"/>
        <v>2</v>
      </c>
      <c r="I231" s="2">
        <f t="shared" si="7"/>
        <v>2</v>
      </c>
      <c r="J231" s="2" t="str">
        <f t="array" ref="J231">INDEX(lists!A:A,RANDBETWEEN(1,19))
</f>
        <v>Center for Real Estate Studies</v>
      </c>
      <c r="K231" s="2" t="str">
        <f t="array" ref="K231">INDEX(lists!N:N,RANDBETWEEN(1,6))
</f>
        <v>Falmouth</v>
      </c>
      <c r="L231" s="2">
        <f t="shared" si="8"/>
        <v>5</v>
      </c>
      <c r="M231" s="2" t="str">
        <f t="array" ref="M231">INDEX(lists!O:O,RANDBETWEEN(1,2))
</f>
        <v>Delivery</v>
      </c>
      <c r="N231" s="2">
        <f t="shared" si="9"/>
        <v>3</v>
      </c>
    </row>
    <row r="232">
      <c r="A232" s="2">
        <f t="shared" si="1"/>
        <v>231</v>
      </c>
      <c r="B232" s="3">
        <f t="shared" si="2"/>
        <v>45297</v>
      </c>
      <c r="C232" s="3">
        <f t="shared" si="3"/>
        <v>45299</v>
      </c>
      <c r="D232" s="3" t="str">
        <f t="shared" si="4"/>
        <v>Completed</v>
      </c>
      <c r="E232" s="2">
        <f t="shared" si="5"/>
        <v>2</v>
      </c>
      <c r="F232" s="2" t="str">
        <f t="array" ref="F232">INDEX(lists!F:F,RANDBETWEEN(1,6))
</f>
        <v>Dining</v>
      </c>
      <c r="G232" s="2" t="str">
        <f t="array" ref="G232">IFS(
F232="Bedroom",INDEX(lists!G:G,RANDBETWEEN(1,4)),
F232="Living Room",INDEX(lists!H:H,RANDBETWEEN(1,4)),
F232="Dining",INDEX(lists!I:I,RANDBETWEEN(1,2)),
F232="Kitchen",INDEX(lists!J:J,RANDBETWEEN(1,4)),
F232="Office",INDEX(lists!K:K,RANDBETWEEN(1,3)),
F232="Household Essentials",INDEX(lists!L:L,RANDBETWEEN(1,3))
)
</f>
        <v>Dining Chair</v>
      </c>
      <c r="H232" s="2">
        <f t="shared" si="6"/>
        <v>1</v>
      </c>
      <c r="I232" s="2">
        <f t="shared" si="7"/>
        <v>1</v>
      </c>
      <c r="J232" s="2" t="str">
        <f t="array" ref="J232">INDEX(lists!A:A,RANDBETWEEN(1,19))
</f>
        <v>Portland Harbor Group Raymond James</v>
      </c>
      <c r="K232" s="2" t="str">
        <f t="array" ref="K232">INDEX(lists!N:N,RANDBETWEEN(1,6))
</f>
        <v>Portland</v>
      </c>
      <c r="L232" s="2">
        <f t="shared" si="8"/>
        <v>5</v>
      </c>
      <c r="M232" s="2" t="str">
        <f t="array" ref="M232">INDEX(lists!O:O,RANDBETWEEN(1,2))
</f>
        <v>Pickup</v>
      </c>
      <c r="N232" s="2">
        <f t="shared" si="9"/>
        <v>2</v>
      </c>
    </row>
    <row r="233">
      <c r="A233" s="2">
        <f t="shared" si="1"/>
        <v>232</v>
      </c>
      <c r="B233" s="3">
        <f t="shared" si="2"/>
        <v>45739</v>
      </c>
      <c r="C233" s="3">
        <f t="shared" si="3"/>
        <v>45745</v>
      </c>
      <c r="D233" s="3" t="str">
        <f t="shared" si="4"/>
        <v>Completed</v>
      </c>
      <c r="E233" s="2">
        <f t="shared" si="5"/>
        <v>6</v>
      </c>
      <c r="F233" s="2" t="str">
        <f t="array" ref="F233">INDEX(lists!F:F,RANDBETWEEN(1,6))
</f>
        <v>Office</v>
      </c>
      <c r="G233" s="2" t="str">
        <f t="array" ref="G233">IFS(
F233="Bedroom",INDEX(lists!G:G,RANDBETWEEN(1,4)),
F233="Living Room",INDEX(lists!H:H,RANDBETWEEN(1,4)),
F233="Dining",INDEX(lists!I:I,RANDBETWEEN(1,2)),
F233="Kitchen",INDEX(lists!J:J,RANDBETWEEN(1,4)),
F233="Office",INDEX(lists!K:K,RANDBETWEEN(1,3)),
F233="Household Essentials",INDEX(lists!L:L,RANDBETWEEN(1,3))
)
</f>
        <v>Office Chair</v>
      </c>
      <c r="H233" s="2">
        <f t="shared" si="6"/>
        <v>4</v>
      </c>
      <c r="I233" s="2">
        <f t="shared" si="7"/>
        <v>2</v>
      </c>
      <c r="J233" s="2" t="str">
        <f t="array" ref="J233">INDEX(lists!A:A,RANDBETWEEN(1,19))
</f>
        <v>Systems Engineering</v>
      </c>
      <c r="K233" s="2" t="str">
        <f t="array" ref="K233">INDEX(lists!N:N,RANDBETWEEN(1,6))
</f>
        <v>Portland</v>
      </c>
      <c r="L233" s="2">
        <f t="shared" si="8"/>
        <v>3</v>
      </c>
      <c r="M233" s="2" t="str">
        <f t="array" ref="M233">INDEX(lists!O:O,RANDBETWEEN(1,2))
</f>
        <v>Delivery</v>
      </c>
      <c r="N233" s="2">
        <f t="shared" si="9"/>
        <v>5</v>
      </c>
    </row>
    <row r="234">
      <c r="A234" s="2">
        <f t="shared" si="1"/>
        <v>233</v>
      </c>
      <c r="B234" s="3">
        <f t="shared" si="2"/>
        <v>45553</v>
      </c>
      <c r="C234" s="3">
        <f t="shared" si="3"/>
        <v>45573</v>
      </c>
      <c r="D234" s="3" t="str">
        <f t="shared" si="4"/>
        <v>Completed</v>
      </c>
      <c r="E234" s="2">
        <f t="shared" si="5"/>
        <v>20</v>
      </c>
      <c r="F234" s="2" t="str">
        <f t="array" ref="F234">INDEX(lists!F:F,RANDBETWEEN(1,6))
</f>
        <v>Household Essentials</v>
      </c>
      <c r="G234" s="2" t="str">
        <f t="array" ref="G234">IFS(
F234="Bedroom",INDEX(lists!G:G,RANDBETWEEN(1,4)),
F234="Living Room",INDEX(lists!H:H,RANDBETWEEN(1,4)),
F234="Dining",INDEX(lists!I:I,RANDBETWEEN(1,2)),
F234="Kitchen",INDEX(lists!J:J,RANDBETWEEN(1,4)),
F234="Office",INDEX(lists!K:K,RANDBETWEEN(1,3)),
F234="Household Essentials",INDEX(lists!L:L,RANDBETWEEN(1,3))
)
</f>
        <v>Lamps</v>
      </c>
      <c r="H234" s="2">
        <f t="shared" si="6"/>
        <v>2</v>
      </c>
      <c r="I234" s="2">
        <f t="shared" si="7"/>
        <v>1</v>
      </c>
      <c r="J234" s="2" t="str">
        <f t="array" ref="J234">INDEX(lists!A:A,RANDBETWEEN(1,19))
</f>
        <v>EthosVont</v>
      </c>
      <c r="K234" s="2" t="str">
        <f t="array" ref="K234">INDEX(lists!N:N,RANDBETWEEN(1,6))
</f>
        <v>Westbrook</v>
      </c>
      <c r="L234" s="2">
        <f t="shared" si="8"/>
        <v>2</v>
      </c>
      <c r="M234" s="2" t="str">
        <f t="array" ref="M234">INDEX(lists!O:O,RANDBETWEEN(1,2))
</f>
        <v>Delivery</v>
      </c>
      <c r="N234" s="2">
        <f t="shared" si="9"/>
        <v>5</v>
      </c>
    </row>
    <row r="235">
      <c r="A235" s="2">
        <f t="shared" si="1"/>
        <v>234</v>
      </c>
      <c r="B235" s="3">
        <f t="shared" si="2"/>
        <v>45642</v>
      </c>
      <c r="C235" s="3" t="str">
        <f t="shared" si="3"/>
        <v/>
      </c>
      <c r="D235" s="3" t="str">
        <f t="shared" si="4"/>
        <v>Pending</v>
      </c>
      <c r="E235" s="2" t="str">
        <f t="shared" si="5"/>
        <v/>
      </c>
      <c r="F235" s="2" t="str">
        <f t="array" ref="F235">INDEX(lists!F:F,RANDBETWEEN(1,6))
</f>
        <v>Household Essentials</v>
      </c>
      <c r="G235" s="2" t="str">
        <f t="array" ref="G235">IFS(
F235="Bedroom",INDEX(lists!G:G,RANDBETWEEN(1,4)),
F235="Living Room",INDEX(lists!H:H,RANDBETWEEN(1,4)),
F235="Dining",INDEX(lists!I:I,RANDBETWEEN(1,2)),
F235="Kitchen",INDEX(lists!J:J,RANDBETWEEN(1,4)),
F235="Office",INDEX(lists!K:K,RANDBETWEEN(1,3)),
F235="Household Essentials",INDEX(lists!L:L,RANDBETWEEN(1,3))
)
</f>
        <v>Rugs</v>
      </c>
      <c r="H235" s="2">
        <f t="shared" si="6"/>
        <v>1</v>
      </c>
      <c r="I235" s="2" t="str">
        <f t="shared" si="7"/>
        <v/>
      </c>
      <c r="J235" s="2" t="str">
        <f t="array" ref="J235">INDEX(lists!A:A,RANDBETWEEN(1,19))
</f>
        <v>Systems Engineering</v>
      </c>
      <c r="K235" s="2" t="str">
        <f t="array" ref="K235">INDEX(lists!N:N,RANDBETWEEN(1,6))
</f>
        <v>South Portland</v>
      </c>
      <c r="L235" s="2">
        <f t="shared" si="8"/>
        <v>2</v>
      </c>
      <c r="M235" s="2" t="str">
        <f t="array" ref="M235">INDEX(lists!O:O,RANDBETWEEN(1,2))
</f>
        <v>Pickup</v>
      </c>
      <c r="N235" s="2">
        <f t="shared" si="9"/>
        <v>2</v>
      </c>
    </row>
    <row r="236">
      <c r="A236" s="2">
        <f t="shared" si="1"/>
        <v>235</v>
      </c>
      <c r="B236" s="3">
        <f t="shared" si="2"/>
        <v>45625</v>
      </c>
      <c r="C236" s="3">
        <f t="shared" si="3"/>
        <v>45637</v>
      </c>
      <c r="D236" s="3" t="str">
        <f t="shared" si="4"/>
        <v>Completed</v>
      </c>
      <c r="E236" s="2">
        <f t="shared" si="5"/>
        <v>12</v>
      </c>
      <c r="F236" s="2" t="str">
        <f t="array" ref="F236">INDEX(lists!F:F,RANDBETWEEN(1,6))
</f>
        <v>Kitchen</v>
      </c>
      <c r="G236" s="2" t="str">
        <f t="array" ref="G236">IFS(
F236="Bedroom",INDEX(lists!G:G,RANDBETWEEN(1,4)),
F236="Living Room",INDEX(lists!H:H,RANDBETWEEN(1,4)),
F236="Dining",INDEX(lists!I:I,RANDBETWEEN(1,2)),
F236="Kitchen",INDEX(lists!J:J,RANDBETWEEN(1,4)),
F236="Office",INDEX(lists!K:K,RANDBETWEEN(1,3)),
F236="Household Essentials",INDEX(lists!L:L,RANDBETWEEN(1,3))
)
</f>
        <v>Dishes</v>
      </c>
      <c r="H236" s="2">
        <f t="shared" si="6"/>
        <v>3</v>
      </c>
      <c r="I236" s="2">
        <f t="shared" si="7"/>
        <v>1</v>
      </c>
      <c r="J236" s="2" t="str">
        <f t="array" ref="J236">INDEX(lists!A:A,RANDBETWEEN(1,19))
</f>
        <v>GoGo Refill</v>
      </c>
      <c r="K236" s="2" t="str">
        <f t="array" ref="K236">INDEX(lists!N:N,RANDBETWEEN(1,6))
</f>
        <v>Portland</v>
      </c>
      <c r="L236" s="2">
        <f t="shared" si="8"/>
        <v>6</v>
      </c>
      <c r="M236" s="2" t="str">
        <f t="array" ref="M236">INDEX(lists!O:O,RANDBETWEEN(1,2))
</f>
        <v>Pickup</v>
      </c>
      <c r="N236" s="2">
        <f t="shared" si="9"/>
        <v>6</v>
      </c>
    </row>
    <row r="237">
      <c r="A237" s="2">
        <f t="shared" si="1"/>
        <v>236</v>
      </c>
      <c r="B237" s="3">
        <f t="shared" si="2"/>
        <v>45517</v>
      </c>
      <c r="C237" s="3">
        <f t="shared" si="3"/>
        <v>45530</v>
      </c>
      <c r="D237" s="3" t="str">
        <f t="shared" si="4"/>
        <v>Completed</v>
      </c>
      <c r="E237" s="2">
        <f t="shared" si="5"/>
        <v>13</v>
      </c>
      <c r="F237" s="2" t="str">
        <f t="array" ref="F237">INDEX(lists!F:F,RANDBETWEEN(1,6))
</f>
        <v>Kitchen</v>
      </c>
      <c r="G237" s="2" t="str">
        <f t="array" ref="G237">IFS(
F237="Bedroom",INDEX(lists!G:G,RANDBETWEEN(1,4)),
F237="Living Room",INDEX(lists!H:H,RANDBETWEEN(1,4)),
F237="Dining",INDEX(lists!I:I,RANDBETWEEN(1,2)),
F237="Kitchen",INDEX(lists!J:J,RANDBETWEEN(1,4)),
F237="Office",INDEX(lists!K:K,RANDBETWEEN(1,3)),
F237="Household Essentials",INDEX(lists!L:L,RANDBETWEEN(1,3))
)
</f>
        <v>Dishes</v>
      </c>
      <c r="H237" s="2">
        <f t="shared" si="6"/>
        <v>2</v>
      </c>
      <c r="I237" s="2">
        <f t="shared" si="7"/>
        <v>2</v>
      </c>
      <c r="J237" s="2" t="str">
        <f t="array" ref="J237">INDEX(lists!A:A,RANDBETWEEN(1,19))
</f>
        <v>NewHeight Group</v>
      </c>
      <c r="K237" s="2" t="str">
        <f t="array" ref="K237">INDEX(lists!N:N,RANDBETWEEN(1,6))
</f>
        <v>Scarborough</v>
      </c>
      <c r="L237" s="2">
        <f t="shared" si="8"/>
        <v>3</v>
      </c>
      <c r="M237" s="2" t="str">
        <f t="array" ref="M237">INDEX(lists!O:O,RANDBETWEEN(1,2))
</f>
        <v>Pickup</v>
      </c>
      <c r="N237" s="2">
        <f t="shared" si="9"/>
        <v>2</v>
      </c>
    </row>
    <row r="238">
      <c r="A238" s="2">
        <f t="shared" si="1"/>
        <v>237</v>
      </c>
      <c r="B238" s="3">
        <f t="shared" si="2"/>
        <v>45477</v>
      </c>
      <c r="C238" s="3">
        <f t="shared" si="3"/>
        <v>45478</v>
      </c>
      <c r="D238" s="3" t="str">
        <f t="shared" si="4"/>
        <v>Completed</v>
      </c>
      <c r="E238" s="2">
        <f t="shared" si="5"/>
        <v>1</v>
      </c>
      <c r="F238" s="2" t="str">
        <f t="array" ref="F238">INDEX(lists!F:F,RANDBETWEEN(1,6))
</f>
        <v>Office</v>
      </c>
      <c r="G238" s="2" t="str">
        <f t="array" ref="G238">IFS(
F238="Bedroom",INDEX(lists!G:G,RANDBETWEEN(1,4)),
F238="Living Room",INDEX(lists!H:H,RANDBETWEEN(1,4)),
F238="Dining",INDEX(lists!I:I,RANDBETWEEN(1,2)),
F238="Kitchen",INDEX(lists!J:J,RANDBETWEEN(1,4)),
F238="Office",INDEX(lists!K:K,RANDBETWEEN(1,3)),
F238="Household Essentials",INDEX(lists!L:L,RANDBETWEEN(1,3))
)
</f>
        <v>Office Chair</v>
      </c>
      <c r="H238" s="2">
        <f t="shared" si="6"/>
        <v>1</v>
      </c>
      <c r="I238" s="2">
        <f t="shared" si="7"/>
        <v>1</v>
      </c>
      <c r="J238" s="2" t="str">
        <f t="array" ref="J238">INDEX(lists!A:A,RANDBETWEEN(1,19))
</f>
        <v>Saco &amp; Biddeford Savings</v>
      </c>
      <c r="K238" s="2" t="str">
        <f t="array" ref="K238">INDEX(lists!N:N,RANDBETWEEN(1,6))
</f>
        <v>Biddeford</v>
      </c>
      <c r="L238" s="2">
        <f t="shared" si="8"/>
        <v>3</v>
      </c>
      <c r="M238" s="2" t="str">
        <f t="array" ref="M238">INDEX(lists!O:O,RANDBETWEEN(1,2))
</f>
        <v>Delivery</v>
      </c>
      <c r="N238" s="2">
        <f t="shared" si="9"/>
        <v>4</v>
      </c>
    </row>
    <row r="239">
      <c r="A239" s="2">
        <f t="shared" si="1"/>
        <v>238</v>
      </c>
      <c r="B239" s="3">
        <f t="shared" si="2"/>
        <v>45430</v>
      </c>
      <c r="C239" s="3">
        <f t="shared" si="3"/>
        <v>45447</v>
      </c>
      <c r="D239" s="3" t="str">
        <f t="shared" si="4"/>
        <v>Completed</v>
      </c>
      <c r="E239" s="2">
        <f t="shared" si="5"/>
        <v>17</v>
      </c>
      <c r="F239" s="2" t="str">
        <f t="array" ref="F239">INDEX(lists!F:F,RANDBETWEEN(1,6))
</f>
        <v>Living Room</v>
      </c>
      <c r="G239" s="2" t="str">
        <f t="array" ref="G239">IFS(
F239="Bedroom",INDEX(lists!G:G,RANDBETWEEN(1,4)),
F239="Living Room",INDEX(lists!H:H,RANDBETWEEN(1,4)),
F239="Dining",INDEX(lists!I:I,RANDBETWEEN(1,2)),
F239="Kitchen",INDEX(lists!J:J,RANDBETWEEN(1,4)),
F239="Office",INDEX(lists!K:K,RANDBETWEEN(1,3)),
F239="Household Essentials",INDEX(lists!L:L,RANDBETWEEN(1,3))
)
</f>
        <v>Armchair</v>
      </c>
      <c r="H239" s="2">
        <f t="shared" si="6"/>
        <v>2</v>
      </c>
      <c r="I239" s="2">
        <f t="shared" si="7"/>
        <v>2</v>
      </c>
      <c r="J239" s="2" t="str">
        <f t="array" ref="J239">INDEX(lists!A:A,RANDBETWEEN(1,19))
</f>
        <v>Saco &amp; Biddeford Savings</v>
      </c>
      <c r="K239" s="2" t="str">
        <f t="array" ref="K239">INDEX(lists!N:N,RANDBETWEEN(1,6))
</f>
        <v>Portland</v>
      </c>
      <c r="L239" s="2">
        <f t="shared" si="8"/>
        <v>2</v>
      </c>
      <c r="M239" s="2" t="str">
        <f t="array" ref="M239">INDEX(lists!O:O,RANDBETWEEN(1,2))
</f>
        <v>Pickup</v>
      </c>
      <c r="N239" s="2">
        <f t="shared" si="9"/>
        <v>2</v>
      </c>
    </row>
    <row r="240">
      <c r="A240" s="2">
        <f t="shared" si="1"/>
        <v>239</v>
      </c>
      <c r="B240" s="3">
        <f t="shared" si="2"/>
        <v>45530</v>
      </c>
      <c r="C240" s="3">
        <f t="shared" si="3"/>
        <v>45544</v>
      </c>
      <c r="D240" s="3" t="str">
        <f t="shared" si="4"/>
        <v>Completed</v>
      </c>
      <c r="E240" s="2">
        <f t="shared" si="5"/>
        <v>14</v>
      </c>
      <c r="F240" s="2" t="str">
        <f t="array" ref="F240">INDEX(lists!F:F,RANDBETWEEN(1,6))
</f>
        <v>Dining</v>
      </c>
      <c r="G240" s="2" t="str">
        <f t="array" ref="G240">IFS(
F240="Bedroom",INDEX(lists!G:G,RANDBETWEEN(1,4)),
F240="Living Room",INDEX(lists!H:H,RANDBETWEEN(1,4)),
F240="Dining",INDEX(lists!I:I,RANDBETWEEN(1,2)),
F240="Kitchen",INDEX(lists!J:J,RANDBETWEEN(1,4)),
F240="Office",INDEX(lists!K:K,RANDBETWEEN(1,3)),
F240="Household Essentials",INDEX(lists!L:L,RANDBETWEEN(1,3))
)
</f>
        <v>Dining Chair</v>
      </c>
      <c r="H240" s="2">
        <f t="shared" si="6"/>
        <v>2</v>
      </c>
      <c r="I240" s="2">
        <f t="shared" si="7"/>
        <v>1</v>
      </c>
      <c r="J240" s="2" t="str">
        <f t="array" ref="J240">INDEX(lists!A:A,RANDBETWEEN(1,19))
</f>
        <v>Keybank</v>
      </c>
      <c r="K240" s="2" t="str">
        <f t="array" ref="K240">INDEX(lists!N:N,RANDBETWEEN(1,6))
</f>
        <v>Portland</v>
      </c>
      <c r="L240" s="2">
        <f t="shared" si="8"/>
        <v>5</v>
      </c>
      <c r="M240" s="2" t="str">
        <f t="array" ref="M240">INDEX(lists!O:O,RANDBETWEEN(1,2))
</f>
        <v>Pickup</v>
      </c>
      <c r="N240" s="2">
        <f t="shared" si="9"/>
        <v>4</v>
      </c>
    </row>
    <row r="241">
      <c r="A241" s="2">
        <f t="shared" si="1"/>
        <v>240</v>
      </c>
      <c r="B241" s="3">
        <f t="shared" si="2"/>
        <v>45447</v>
      </c>
      <c r="C241" s="3">
        <f t="shared" si="3"/>
        <v>45451</v>
      </c>
      <c r="D241" s="3" t="str">
        <f t="shared" si="4"/>
        <v>Completed</v>
      </c>
      <c r="E241" s="2">
        <f t="shared" si="5"/>
        <v>4</v>
      </c>
      <c r="F241" s="2" t="str">
        <f t="array" ref="F241">INDEX(lists!F:F,RANDBETWEEN(1,6))
</f>
        <v>Living Room</v>
      </c>
      <c r="G241" s="2" t="str">
        <f t="array" ref="G241">IFS(
F241="Bedroom",INDEX(lists!G:G,RANDBETWEEN(1,4)),
F241="Living Room",INDEX(lists!H:H,RANDBETWEEN(1,4)),
F241="Dining",INDEX(lists!I:I,RANDBETWEEN(1,2)),
F241="Kitchen",INDEX(lists!J:J,RANDBETWEEN(1,4)),
F241="Office",INDEX(lists!K:K,RANDBETWEEN(1,3)),
F241="Household Essentials",INDEX(lists!L:L,RANDBETWEEN(1,3))
)
</f>
        <v>TV Stand</v>
      </c>
      <c r="H241" s="2">
        <f t="shared" si="6"/>
        <v>2</v>
      </c>
      <c r="I241" s="2">
        <f t="shared" si="7"/>
        <v>2</v>
      </c>
      <c r="J241" s="2" t="str">
        <f t="array" ref="J241">INDEX(lists!A:A,RANDBETWEEN(1,19))
</f>
        <v>Maine Community Bank</v>
      </c>
      <c r="K241" s="2" t="str">
        <f t="array" ref="K241">INDEX(lists!N:N,RANDBETWEEN(1,6))
</f>
        <v>Westbrook</v>
      </c>
      <c r="L241" s="2">
        <f t="shared" si="8"/>
        <v>6</v>
      </c>
      <c r="M241" s="2" t="str">
        <f t="array" ref="M241">INDEX(lists!O:O,RANDBETWEEN(1,2))
</f>
        <v>Delivery</v>
      </c>
      <c r="N241" s="2">
        <f t="shared" si="9"/>
        <v>5</v>
      </c>
    </row>
    <row r="242">
      <c r="A242" s="2">
        <f t="shared" si="1"/>
        <v>241</v>
      </c>
      <c r="B242" s="3">
        <f t="shared" si="2"/>
        <v>45832</v>
      </c>
      <c r="C242" s="3">
        <f t="shared" si="3"/>
        <v>45839</v>
      </c>
      <c r="D242" s="3" t="str">
        <f t="shared" si="4"/>
        <v>Completed</v>
      </c>
      <c r="E242" s="2">
        <f t="shared" si="5"/>
        <v>7</v>
      </c>
      <c r="F242" s="2" t="str">
        <f t="array" ref="F242">INDEX(lists!F:F,RANDBETWEEN(1,6))
</f>
        <v>Office</v>
      </c>
      <c r="G242" s="2" t="str">
        <f t="array" ref="G242">IFS(
F242="Bedroom",INDEX(lists!G:G,RANDBETWEEN(1,4)),
F242="Living Room",INDEX(lists!H:H,RANDBETWEEN(1,4)),
F242="Dining",INDEX(lists!I:I,RANDBETWEEN(1,2)),
F242="Kitchen",INDEX(lists!J:J,RANDBETWEEN(1,4)),
F242="Office",INDEX(lists!K:K,RANDBETWEEN(1,3)),
F242="Household Essentials",INDEX(lists!L:L,RANDBETWEEN(1,3))
)
</f>
        <v>Desk</v>
      </c>
      <c r="H242" s="2">
        <f t="shared" si="6"/>
        <v>1</v>
      </c>
      <c r="I242" s="2">
        <f t="shared" si="7"/>
        <v>1</v>
      </c>
      <c r="J242" s="2" t="str">
        <f t="array" ref="J242">INDEX(lists!A:A,RANDBETWEEN(1,19))
</f>
        <v>Coffee By Design</v>
      </c>
      <c r="K242" s="2" t="str">
        <f t="array" ref="K242">INDEX(lists!N:N,RANDBETWEEN(1,6))
</f>
        <v>South Portland</v>
      </c>
      <c r="L242" s="2">
        <f t="shared" si="8"/>
        <v>5</v>
      </c>
      <c r="M242" s="2" t="str">
        <f t="array" ref="M242">INDEX(lists!O:O,RANDBETWEEN(1,2))
</f>
        <v>Delivery</v>
      </c>
      <c r="N242" s="2">
        <f t="shared" si="9"/>
        <v>2</v>
      </c>
    </row>
    <row r="243">
      <c r="A243" s="2">
        <f t="shared" si="1"/>
        <v>242</v>
      </c>
      <c r="B243" s="3">
        <f t="shared" si="2"/>
        <v>45651</v>
      </c>
      <c r="C243" s="3">
        <f t="shared" si="3"/>
        <v>45657</v>
      </c>
      <c r="D243" s="3" t="str">
        <f t="shared" si="4"/>
        <v>Completed</v>
      </c>
      <c r="E243" s="2">
        <f t="shared" si="5"/>
        <v>6</v>
      </c>
      <c r="F243" s="2" t="str">
        <f t="array" ref="F243">INDEX(lists!F:F,RANDBETWEEN(1,6))
</f>
        <v>Kitchen</v>
      </c>
      <c r="G243" s="2" t="str">
        <f t="array" ref="G243">IFS(
F243="Bedroom",INDEX(lists!G:G,RANDBETWEEN(1,4)),
F243="Living Room",INDEX(lists!H:H,RANDBETWEEN(1,4)),
F243="Dining",INDEX(lists!I:I,RANDBETWEEN(1,2)),
F243="Kitchen",INDEX(lists!J:J,RANDBETWEEN(1,4)),
F243="Office",INDEX(lists!K:K,RANDBETWEEN(1,3)),
F243="Household Essentials",INDEX(lists!L:L,RANDBETWEEN(1,3))
)
</f>
        <v>Pots &amp; Pans</v>
      </c>
      <c r="H243" s="2">
        <f t="shared" si="6"/>
        <v>3</v>
      </c>
      <c r="I243" s="2">
        <f t="shared" si="7"/>
        <v>1</v>
      </c>
      <c r="J243" s="2" t="str">
        <f t="array" ref="J243">INDEX(lists!A:A,RANDBETWEEN(1,19))
</f>
        <v>Jordan's Furniture</v>
      </c>
      <c r="K243" s="2" t="str">
        <f t="array" ref="K243">INDEX(lists!N:N,RANDBETWEEN(1,6))
</f>
        <v>Portland</v>
      </c>
      <c r="L243" s="2">
        <f t="shared" si="8"/>
        <v>1</v>
      </c>
      <c r="M243" s="2" t="str">
        <f t="array" ref="M243">INDEX(lists!O:O,RANDBETWEEN(1,2))
</f>
        <v>Pickup</v>
      </c>
      <c r="N243" s="2">
        <f t="shared" si="9"/>
        <v>1</v>
      </c>
    </row>
    <row r="244">
      <c r="A244" s="2">
        <f t="shared" si="1"/>
        <v>243</v>
      </c>
      <c r="B244" s="3">
        <f t="shared" si="2"/>
        <v>45597</v>
      </c>
      <c r="C244" s="3" t="str">
        <f t="shared" si="3"/>
        <v/>
      </c>
      <c r="D244" s="3" t="str">
        <f t="shared" si="4"/>
        <v>Cancelled</v>
      </c>
      <c r="E244" s="2" t="str">
        <f t="shared" si="5"/>
        <v/>
      </c>
      <c r="F244" s="2" t="str">
        <f t="array" ref="F244">INDEX(lists!F:F,RANDBETWEEN(1,6))
</f>
        <v>Living Room</v>
      </c>
      <c r="G244" s="2" t="str">
        <f t="array" ref="G244">IFS(
F244="Bedroom",INDEX(lists!G:G,RANDBETWEEN(1,4)),
F244="Living Room",INDEX(lists!H:H,RANDBETWEEN(1,4)),
F244="Dining",INDEX(lists!I:I,RANDBETWEEN(1,2)),
F244="Kitchen",INDEX(lists!J:J,RANDBETWEEN(1,4)),
F244="Office",INDEX(lists!K:K,RANDBETWEEN(1,3)),
F244="Household Essentials",INDEX(lists!L:L,RANDBETWEEN(1,3))
)
</f>
        <v>Coffee Table</v>
      </c>
      <c r="H244" s="2">
        <f t="shared" si="6"/>
        <v>4</v>
      </c>
      <c r="I244" s="2" t="str">
        <f t="shared" si="7"/>
        <v/>
      </c>
      <c r="J244" s="2" t="str">
        <f t="array" ref="J244">INDEX(lists!A:A,RANDBETWEEN(1,19))
</f>
        <v>Jordan's Furniture</v>
      </c>
      <c r="K244" s="2" t="str">
        <f t="array" ref="K244">INDEX(lists!N:N,RANDBETWEEN(1,6))
</f>
        <v>Portland</v>
      </c>
      <c r="L244" s="2">
        <f t="shared" si="8"/>
        <v>1</v>
      </c>
      <c r="M244" s="2" t="str">
        <f t="array" ref="M244">INDEX(lists!O:O,RANDBETWEEN(1,2))
</f>
        <v>Delivery</v>
      </c>
      <c r="N244" s="2">
        <f t="shared" si="9"/>
        <v>5</v>
      </c>
    </row>
    <row r="245">
      <c r="A245" s="2">
        <f t="shared" si="1"/>
        <v>244</v>
      </c>
      <c r="B245" s="3">
        <f t="shared" si="2"/>
        <v>45337</v>
      </c>
      <c r="C245" s="3">
        <f t="shared" si="3"/>
        <v>45345</v>
      </c>
      <c r="D245" s="3" t="str">
        <f t="shared" si="4"/>
        <v>Completed</v>
      </c>
      <c r="E245" s="2">
        <f t="shared" si="5"/>
        <v>8</v>
      </c>
      <c r="F245" s="2" t="str">
        <f t="array" ref="F245">INDEX(lists!F:F,RANDBETWEEN(1,6))
</f>
        <v>Bedroom</v>
      </c>
      <c r="G245" s="2" t="str">
        <f t="array" ref="G245">IFS(
F245="Bedroom",INDEX(lists!G:G,RANDBETWEEN(1,4)),
F245="Living Room",INDEX(lists!H:H,RANDBETWEEN(1,4)),
F245="Dining",INDEX(lists!I:I,RANDBETWEEN(1,2)),
F245="Kitchen",INDEX(lists!J:J,RANDBETWEEN(1,4)),
F245="Office",INDEX(lists!K:K,RANDBETWEEN(1,3)),
F245="Household Essentials",INDEX(lists!L:L,RANDBETWEEN(1,3))
)
</f>
        <v>Mattress</v>
      </c>
      <c r="H245" s="2">
        <f t="shared" si="6"/>
        <v>4</v>
      </c>
      <c r="I245" s="2">
        <f t="shared" si="7"/>
        <v>4</v>
      </c>
      <c r="J245" s="2" t="str">
        <f t="array" ref="J245">INDEX(lists!A:A,RANDBETWEEN(1,19))
</f>
        <v>GoGo Refill</v>
      </c>
      <c r="K245" s="2" t="str">
        <f t="array" ref="K245">INDEX(lists!N:N,RANDBETWEEN(1,6))
</f>
        <v>Biddeford</v>
      </c>
      <c r="L245" s="2">
        <f t="shared" si="8"/>
        <v>6</v>
      </c>
      <c r="M245" s="2" t="str">
        <f t="array" ref="M245">INDEX(lists!O:O,RANDBETWEEN(1,2))
</f>
        <v>Delivery</v>
      </c>
      <c r="N245" s="2">
        <f t="shared" si="9"/>
        <v>1</v>
      </c>
    </row>
    <row r="246">
      <c r="A246" s="2">
        <f t="shared" si="1"/>
        <v>245</v>
      </c>
      <c r="B246" s="3">
        <f t="shared" si="2"/>
        <v>45679</v>
      </c>
      <c r="C246" s="3">
        <f t="shared" si="3"/>
        <v>45689</v>
      </c>
      <c r="D246" s="3" t="str">
        <f t="shared" si="4"/>
        <v>Completed</v>
      </c>
      <c r="E246" s="2">
        <f t="shared" si="5"/>
        <v>10</v>
      </c>
      <c r="F246" s="2" t="str">
        <f t="array" ref="F246">INDEX(lists!F:F,RANDBETWEEN(1,6))
</f>
        <v>Living Room</v>
      </c>
      <c r="G246" s="2" t="str">
        <f t="array" ref="G246">IFS(
F246="Bedroom",INDEX(lists!G:G,RANDBETWEEN(1,4)),
F246="Living Room",INDEX(lists!H:H,RANDBETWEEN(1,4)),
F246="Dining",INDEX(lists!I:I,RANDBETWEEN(1,2)),
F246="Kitchen",INDEX(lists!J:J,RANDBETWEEN(1,4)),
F246="Office",INDEX(lists!K:K,RANDBETWEEN(1,3)),
F246="Household Essentials",INDEX(lists!L:L,RANDBETWEEN(1,3))
)
</f>
        <v>Coffee Table</v>
      </c>
      <c r="H246" s="2">
        <f t="shared" si="6"/>
        <v>1</v>
      </c>
      <c r="I246" s="2">
        <f t="shared" si="7"/>
        <v>1</v>
      </c>
      <c r="J246" s="2" t="str">
        <f t="array" ref="J246">INDEX(lists!A:A,RANDBETWEEN(1,19))
</f>
        <v>Keybank</v>
      </c>
      <c r="K246" s="2" t="str">
        <f t="array" ref="K246">INDEX(lists!N:N,RANDBETWEEN(1,6))
</f>
        <v>Portland</v>
      </c>
      <c r="L246" s="2">
        <f t="shared" si="8"/>
        <v>5</v>
      </c>
      <c r="M246" s="2" t="str">
        <f t="array" ref="M246">INDEX(lists!O:O,RANDBETWEEN(1,2))
</f>
        <v>Delivery</v>
      </c>
      <c r="N246" s="2">
        <f t="shared" si="9"/>
        <v>6</v>
      </c>
    </row>
    <row r="247">
      <c r="A247" s="2">
        <f t="shared" si="1"/>
        <v>246</v>
      </c>
      <c r="B247" s="3">
        <f t="shared" si="2"/>
        <v>45631</v>
      </c>
      <c r="C247" s="3">
        <f t="shared" si="3"/>
        <v>45640</v>
      </c>
      <c r="D247" s="3" t="str">
        <f t="shared" si="4"/>
        <v>Completed</v>
      </c>
      <c r="E247" s="2">
        <f t="shared" si="5"/>
        <v>9</v>
      </c>
      <c r="F247" s="2" t="str">
        <f t="array" ref="F247">INDEX(lists!F:F,RANDBETWEEN(1,6))
</f>
        <v>Office</v>
      </c>
      <c r="G247" s="2" t="str">
        <f t="array" ref="G247">IFS(
F247="Bedroom",INDEX(lists!G:G,RANDBETWEEN(1,4)),
F247="Living Room",INDEX(lists!H:H,RANDBETWEEN(1,4)),
F247="Dining",INDEX(lists!I:I,RANDBETWEEN(1,2)),
F247="Kitchen",INDEX(lists!J:J,RANDBETWEEN(1,4)),
F247="Office",INDEX(lists!K:K,RANDBETWEEN(1,3)),
F247="Household Essentials",INDEX(lists!L:L,RANDBETWEEN(1,3))
)
</f>
        <v>Desk</v>
      </c>
      <c r="H247" s="2">
        <f t="shared" si="6"/>
        <v>2</v>
      </c>
      <c r="I247" s="2">
        <f t="shared" si="7"/>
        <v>2</v>
      </c>
      <c r="J247" s="2" t="str">
        <f t="array" ref="J247">INDEX(lists!A:A,RANDBETWEEN(1,19))
</f>
        <v>NewHeight Group</v>
      </c>
      <c r="K247" s="2" t="str">
        <f t="array" ref="K247">INDEX(lists!N:N,RANDBETWEEN(1,6))
</f>
        <v>Falmouth</v>
      </c>
      <c r="L247" s="2">
        <f t="shared" si="8"/>
        <v>3</v>
      </c>
      <c r="M247" s="2" t="str">
        <f t="array" ref="M247">INDEX(lists!O:O,RANDBETWEEN(1,2))
</f>
        <v>Pickup</v>
      </c>
      <c r="N247" s="2">
        <f t="shared" si="9"/>
        <v>1</v>
      </c>
    </row>
    <row r="248">
      <c r="A248" s="2">
        <f t="shared" si="1"/>
        <v>247</v>
      </c>
      <c r="B248" s="3">
        <f t="shared" si="2"/>
        <v>45459</v>
      </c>
      <c r="C248" s="3">
        <f t="shared" si="3"/>
        <v>45464</v>
      </c>
      <c r="D248" s="3" t="str">
        <f t="shared" si="4"/>
        <v>Completed</v>
      </c>
      <c r="E248" s="2">
        <f t="shared" si="5"/>
        <v>5</v>
      </c>
      <c r="F248" s="2" t="str">
        <f t="array" ref="F248">INDEX(lists!F:F,RANDBETWEEN(1,6))
</f>
        <v>Kitchen</v>
      </c>
      <c r="G248" s="2" t="str">
        <f t="array" ref="G248">IFS(
F248="Bedroom",INDEX(lists!G:G,RANDBETWEEN(1,4)),
F248="Living Room",INDEX(lists!H:H,RANDBETWEEN(1,4)),
F248="Dining",INDEX(lists!I:I,RANDBETWEEN(1,2)),
F248="Kitchen",INDEX(lists!J:J,RANDBETWEEN(1,4)),
F248="Office",INDEX(lists!K:K,RANDBETWEEN(1,3)),
F248="Household Essentials",INDEX(lists!L:L,RANDBETWEEN(1,3))
)
</f>
        <v>Microwave</v>
      </c>
      <c r="H248" s="2">
        <f t="shared" si="6"/>
        <v>3</v>
      </c>
      <c r="I248" s="2">
        <f t="shared" si="7"/>
        <v>2</v>
      </c>
      <c r="J248" s="2" t="str">
        <f t="array" ref="J248">INDEX(lists!A:A,RANDBETWEEN(1,19))
</f>
        <v>Diversified</v>
      </c>
      <c r="K248" s="2" t="str">
        <f t="array" ref="K248">INDEX(lists!N:N,RANDBETWEEN(1,6))
</f>
        <v>Scarborough</v>
      </c>
      <c r="L248" s="2">
        <f t="shared" si="8"/>
        <v>1</v>
      </c>
      <c r="M248" s="2" t="str">
        <f t="array" ref="M248">INDEX(lists!O:O,RANDBETWEEN(1,2))
</f>
        <v>Pickup</v>
      </c>
      <c r="N248" s="2">
        <f t="shared" si="9"/>
        <v>4</v>
      </c>
    </row>
    <row r="249">
      <c r="A249" s="2">
        <f t="shared" si="1"/>
        <v>248</v>
      </c>
      <c r="B249" s="3">
        <f t="shared" si="2"/>
        <v>45830</v>
      </c>
      <c r="C249" s="3">
        <f t="shared" si="3"/>
        <v>45849</v>
      </c>
      <c r="D249" s="3" t="str">
        <f t="shared" si="4"/>
        <v>Completed</v>
      </c>
      <c r="E249" s="2">
        <f t="shared" si="5"/>
        <v>19</v>
      </c>
      <c r="F249" s="2" t="str">
        <f t="array" ref="F249">INDEX(lists!F:F,RANDBETWEEN(1,6))
</f>
        <v>Household Essentials</v>
      </c>
      <c r="G249" s="2" t="str">
        <f t="array" ref="G249">IFS(
F249="Bedroom",INDEX(lists!G:G,RANDBETWEEN(1,4)),
F249="Living Room",INDEX(lists!H:H,RANDBETWEEN(1,4)),
F249="Dining",INDEX(lists!I:I,RANDBETWEEN(1,2)),
F249="Kitchen",INDEX(lists!J:J,RANDBETWEEN(1,4)),
F249="Office",INDEX(lists!K:K,RANDBETWEEN(1,3)),
F249="Household Essentials",INDEX(lists!L:L,RANDBETWEEN(1,3))
)
</f>
        <v>Lamps</v>
      </c>
      <c r="H249" s="2">
        <f t="shared" si="6"/>
        <v>2</v>
      </c>
      <c r="I249" s="2">
        <f t="shared" si="7"/>
        <v>2</v>
      </c>
      <c r="J249" s="2" t="str">
        <f t="array" ref="J249">INDEX(lists!A:A,RANDBETWEEN(1,19))
</f>
        <v>Portland Harbor Group Raymond James</v>
      </c>
      <c r="K249" s="2" t="str">
        <f t="array" ref="K249">INDEX(lists!N:N,RANDBETWEEN(1,6))
</f>
        <v>Falmouth</v>
      </c>
      <c r="L249" s="2">
        <f t="shared" si="8"/>
        <v>6</v>
      </c>
      <c r="M249" s="2" t="str">
        <f t="array" ref="M249">INDEX(lists!O:O,RANDBETWEEN(1,2))
</f>
        <v>Pickup</v>
      </c>
      <c r="N249" s="2">
        <f t="shared" si="9"/>
        <v>5</v>
      </c>
    </row>
    <row r="250">
      <c r="A250" s="2">
        <f t="shared" si="1"/>
        <v>249</v>
      </c>
      <c r="B250" s="3">
        <f t="shared" si="2"/>
        <v>45777</v>
      </c>
      <c r="C250" s="3">
        <f t="shared" si="3"/>
        <v>45789</v>
      </c>
      <c r="D250" s="3" t="str">
        <f t="shared" si="4"/>
        <v>Completed</v>
      </c>
      <c r="E250" s="2">
        <f t="shared" si="5"/>
        <v>12</v>
      </c>
      <c r="F250" s="2" t="str">
        <f t="array" ref="F250">INDEX(lists!F:F,RANDBETWEEN(1,6))
</f>
        <v>Living Room</v>
      </c>
      <c r="G250" s="2" t="str">
        <f t="array" ref="G250">IFS(
F250="Bedroom",INDEX(lists!G:G,RANDBETWEEN(1,4)),
F250="Living Room",INDEX(lists!H:H,RANDBETWEEN(1,4)),
F250="Dining",INDEX(lists!I:I,RANDBETWEEN(1,2)),
F250="Kitchen",INDEX(lists!J:J,RANDBETWEEN(1,4)),
F250="Office",INDEX(lists!K:K,RANDBETWEEN(1,3)),
F250="Household Essentials",INDEX(lists!L:L,RANDBETWEEN(1,3))
)
</f>
        <v>Sofa</v>
      </c>
      <c r="H250" s="2">
        <f t="shared" si="6"/>
        <v>4</v>
      </c>
      <c r="I250" s="2">
        <f t="shared" si="7"/>
        <v>1</v>
      </c>
      <c r="J250" s="2" t="str">
        <f t="array" ref="J250">INDEX(lists!A:A,RANDBETWEEN(1,19))
</f>
        <v>Spiritual Workers</v>
      </c>
      <c r="K250" s="2" t="str">
        <f t="array" ref="K250">INDEX(lists!N:N,RANDBETWEEN(1,6))
</f>
        <v>Westbrook</v>
      </c>
      <c r="L250" s="2">
        <f t="shared" si="8"/>
        <v>4</v>
      </c>
      <c r="M250" s="2" t="str">
        <f t="array" ref="M250">INDEX(lists!O:O,RANDBETWEEN(1,2))
</f>
        <v>Pickup</v>
      </c>
      <c r="N250" s="2">
        <f t="shared" si="9"/>
        <v>6</v>
      </c>
    </row>
    <row r="251">
      <c r="A251" s="2">
        <f t="shared" si="1"/>
        <v>250</v>
      </c>
      <c r="B251" s="3">
        <f t="shared" si="2"/>
        <v>45345</v>
      </c>
      <c r="C251" s="3">
        <f t="shared" si="3"/>
        <v>45355</v>
      </c>
      <c r="D251" s="3" t="str">
        <f t="shared" si="4"/>
        <v>Completed</v>
      </c>
      <c r="E251" s="2">
        <f t="shared" si="5"/>
        <v>10</v>
      </c>
      <c r="F251" s="2" t="str">
        <f t="array" ref="F251">INDEX(lists!F:F,RANDBETWEEN(1,6))
</f>
        <v>Living Room</v>
      </c>
      <c r="G251" s="2" t="str">
        <f t="array" ref="G251">IFS(
F251="Bedroom",INDEX(lists!G:G,RANDBETWEEN(1,4)),
F251="Living Room",INDEX(lists!H:H,RANDBETWEEN(1,4)),
F251="Dining",INDEX(lists!I:I,RANDBETWEEN(1,2)),
F251="Kitchen",INDEX(lists!J:J,RANDBETWEEN(1,4)),
F251="Office",INDEX(lists!K:K,RANDBETWEEN(1,3)),
F251="Household Essentials",INDEX(lists!L:L,RANDBETWEEN(1,3))
)
</f>
        <v>Coffee Table</v>
      </c>
      <c r="H251" s="2">
        <f t="shared" si="6"/>
        <v>2</v>
      </c>
      <c r="I251" s="2">
        <f t="shared" si="7"/>
        <v>2</v>
      </c>
      <c r="J251" s="2" t="str">
        <f t="array" ref="J251">INDEX(lists!A:A,RANDBETWEEN(1,19))
</f>
        <v>Portland Mattress Makers</v>
      </c>
      <c r="K251" s="2" t="str">
        <f t="array" ref="K251">INDEX(lists!N:N,RANDBETWEEN(1,6))
</f>
        <v>Portland</v>
      </c>
      <c r="L251" s="2">
        <f t="shared" si="8"/>
        <v>3</v>
      </c>
      <c r="M251" s="2" t="str">
        <f t="array" ref="M251">INDEX(lists!O:O,RANDBETWEEN(1,2))
</f>
        <v>Delivery</v>
      </c>
      <c r="N251" s="2">
        <f t="shared" si="9"/>
        <v>6</v>
      </c>
    </row>
    <row r="252">
      <c r="A252" s="2">
        <f t="shared" si="1"/>
        <v>251</v>
      </c>
      <c r="B252" s="3">
        <f t="shared" si="2"/>
        <v>45546</v>
      </c>
      <c r="C252" s="3">
        <f t="shared" si="3"/>
        <v>45554</v>
      </c>
      <c r="D252" s="3" t="str">
        <f t="shared" si="4"/>
        <v>Completed</v>
      </c>
      <c r="E252" s="2">
        <f t="shared" si="5"/>
        <v>8</v>
      </c>
      <c r="F252" s="2" t="str">
        <f t="array" ref="F252">INDEX(lists!F:F,RANDBETWEEN(1,6))
</f>
        <v>Bedroom</v>
      </c>
      <c r="G252" s="2" t="str">
        <f t="array" ref="G252">IFS(
F252="Bedroom",INDEX(lists!G:G,RANDBETWEEN(1,4)),
F252="Living Room",INDEX(lists!H:H,RANDBETWEEN(1,4)),
F252="Dining",INDEX(lists!I:I,RANDBETWEEN(1,2)),
F252="Kitchen",INDEX(lists!J:J,RANDBETWEEN(1,4)),
F252="Office",INDEX(lists!K:K,RANDBETWEEN(1,3)),
F252="Household Essentials",INDEX(lists!L:L,RANDBETWEEN(1,3))
)
</f>
        <v>Nightstand</v>
      </c>
      <c r="H252" s="2">
        <f t="shared" si="6"/>
        <v>1</v>
      </c>
      <c r="I252" s="2">
        <f t="shared" si="7"/>
        <v>1</v>
      </c>
      <c r="J252" s="2" t="str">
        <f t="array" ref="J252">INDEX(lists!A:A,RANDBETWEEN(1,19))
</f>
        <v>Systems Engineering</v>
      </c>
      <c r="K252" s="2" t="str">
        <f t="array" ref="K252">INDEX(lists!N:N,RANDBETWEEN(1,6))
</f>
        <v>Biddeford</v>
      </c>
      <c r="L252" s="2">
        <f t="shared" si="8"/>
        <v>1</v>
      </c>
      <c r="M252" s="2" t="str">
        <f t="array" ref="M252">INDEX(lists!O:O,RANDBETWEEN(1,2))
</f>
        <v>Delivery</v>
      </c>
      <c r="N252" s="2">
        <f t="shared" si="9"/>
        <v>3</v>
      </c>
    </row>
    <row r="253">
      <c r="A253" s="2">
        <f t="shared" si="1"/>
        <v>252</v>
      </c>
      <c r="B253" s="3">
        <f t="shared" si="2"/>
        <v>45774</v>
      </c>
      <c r="C253" s="3">
        <f t="shared" si="3"/>
        <v>45804</v>
      </c>
      <c r="D253" s="3" t="str">
        <f t="shared" si="4"/>
        <v>Completed</v>
      </c>
      <c r="E253" s="2">
        <f t="shared" si="5"/>
        <v>30</v>
      </c>
      <c r="F253" s="2" t="str">
        <f t="array" ref="F253">INDEX(lists!F:F,RANDBETWEEN(1,6))
</f>
        <v>Kitchen</v>
      </c>
      <c r="G253" s="2" t="str">
        <f t="array" ref="G253">IFS(
F253="Bedroom",INDEX(lists!G:G,RANDBETWEEN(1,4)),
F253="Living Room",INDEX(lists!H:H,RANDBETWEEN(1,4)),
F253="Dining",INDEX(lists!I:I,RANDBETWEEN(1,2)),
F253="Kitchen",INDEX(lists!J:J,RANDBETWEEN(1,4)),
F253="Office",INDEX(lists!K:K,RANDBETWEEN(1,3)),
F253="Household Essentials",INDEX(lists!L:L,RANDBETWEEN(1,3))
)
</f>
        <v>Small Appliances</v>
      </c>
      <c r="H253" s="2">
        <f t="shared" si="6"/>
        <v>4</v>
      </c>
      <c r="I253" s="2">
        <f t="shared" si="7"/>
        <v>4</v>
      </c>
      <c r="J253" s="2" t="str">
        <f t="array" ref="J253">INDEX(lists!A:A,RANDBETWEEN(1,19))
</f>
        <v>Center for Real Estate Studies</v>
      </c>
      <c r="K253" s="2" t="str">
        <f t="array" ref="K253">INDEX(lists!N:N,RANDBETWEEN(1,6))
</f>
        <v>Portland</v>
      </c>
      <c r="L253" s="2">
        <f t="shared" si="8"/>
        <v>4</v>
      </c>
      <c r="M253" s="2" t="str">
        <f t="array" ref="M253">INDEX(lists!O:O,RANDBETWEEN(1,2))
</f>
        <v>Pickup</v>
      </c>
      <c r="N253" s="2">
        <f t="shared" si="9"/>
        <v>1</v>
      </c>
    </row>
    <row r="254">
      <c r="A254" s="2">
        <f t="shared" si="1"/>
        <v>253</v>
      </c>
      <c r="B254" s="3">
        <f t="shared" si="2"/>
        <v>45587</v>
      </c>
      <c r="C254" s="3" t="str">
        <f t="shared" si="3"/>
        <v/>
      </c>
      <c r="D254" s="3" t="str">
        <f t="shared" si="4"/>
        <v>Pending</v>
      </c>
      <c r="E254" s="2" t="str">
        <f t="shared" si="5"/>
        <v/>
      </c>
      <c r="F254" s="2" t="str">
        <f t="array" ref="F254">INDEX(lists!F:F,RANDBETWEEN(1,6))
</f>
        <v>Kitchen</v>
      </c>
      <c r="G254" s="2" t="str">
        <f t="array" ref="G254">IFS(
F254="Bedroom",INDEX(lists!G:G,RANDBETWEEN(1,4)),
F254="Living Room",INDEX(lists!H:H,RANDBETWEEN(1,4)),
F254="Dining",INDEX(lists!I:I,RANDBETWEEN(1,2)),
F254="Kitchen",INDEX(lists!J:J,RANDBETWEEN(1,4)),
F254="Office",INDEX(lists!K:K,RANDBETWEEN(1,3)),
F254="Household Essentials",INDEX(lists!L:L,RANDBETWEEN(1,3))
)
</f>
        <v>Small Appliances</v>
      </c>
      <c r="H254" s="2">
        <f t="shared" si="6"/>
        <v>2</v>
      </c>
      <c r="I254" s="2" t="str">
        <f t="shared" si="7"/>
        <v/>
      </c>
      <c r="J254" s="2" t="str">
        <f t="array" ref="J254">INDEX(lists!A:A,RANDBETWEEN(1,19))
</f>
        <v>Coffee By Design</v>
      </c>
      <c r="K254" s="2" t="str">
        <f t="array" ref="K254">INDEX(lists!N:N,RANDBETWEEN(1,6))
</f>
        <v>South Portland</v>
      </c>
      <c r="L254" s="2">
        <f t="shared" si="8"/>
        <v>5</v>
      </c>
      <c r="M254" s="2" t="str">
        <f t="array" ref="M254">INDEX(lists!O:O,RANDBETWEEN(1,2))
</f>
        <v>Delivery</v>
      </c>
      <c r="N254" s="2">
        <f t="shared" si="9"/>
        <v>3</v>
      </c>
    </row>
    <row r="255">
      <c r="A255" s="2">
        <f t="shared" si="1"/>
        <v>254</v>
      </c>
      <c r="B255" s="3">
        <f t="shared" si="2"/>
        <v>45494</v>
      </c>
      <c r="C255" s="3">
        <f t="shared" si="3"/>
        <v>45497</v>
      </c>
      <c r="D255" s="3" t="str">
        <f t="shared" si="4"/>
        <v>Completed</v>
      </c>
      <c r="E255" s="2">
        <f t="shared" si="5"/>
        <v>3</v>
      </c>
      <c r="F255" s="2" t="str">
        <f t="array" ref="F255">INDEX(lists!F:F,RANDBETWEEN(1,6))
</f>
        <v>Kitchen</v>
      </c>
      <c r="G255" s="2" t="str">
        <f t="array" ref="G255">IFS(
F255="Bedroom",INDEX(lists!G:G,RANDBETWEEN(1,4)),
F255="Living Room",INDEX(lists!H:H,RANDBETWEEN(1,4)),
F255="Dining",INDEX(lists!I:I,RANDBETWEEN(1,2)),
F255="Kitchen",INDEX(lists!J:J,RANDBETWEEN(1,4)),
F255="Office",INDEX(lists!K:K,RANDBETWEEN(1,3)),
F255="Household Essentials",INDEX(lists!L:L,RANDBETWEEN(1,3))
)
</f>
        <v>Microwave</v>
      </c>
      <c r="H255" s="2">
        <f t="shared" si="6"/>
        <v>3</v>
      </c>
      <c r="I255" s="2">
        <f t="shared" si="7"/>
        <v>3</v>
      </c>
      <c r="J255" s="2" t="str">
        <f t="array" ref="J255">INDEX(lists!A:A,RANDBETWEEN(1,19))
</f>
        <v>Systems Engineering</v>
      </c>
      <c r="K255" s="2" t="str">
        <f t="array" ref="K255">INDEX(lists!N:N,RANDBETWEEN(1,6))
</f>
        <v>Westbrook</v>
      </c>
      <c r="L255" s="2">
        <f t="shared" si="8"/>
        <v>1</v>
      </c>
      <c r="M255" s="2" t="str">
        <f t="array" ref="M255">INDEX(lists!O:O,RANDBETWEEN(1,2))
</f>
        <v>Pickup</v>
      </c>
      <c r="N255" s="2">
        <f t="shared" si="9"/>
        <v>2</v>
      </c>
    </row>
    <row r="256">
      <c r="A256" s="2">
        <f t="shared" si="1"/>
        <v>255</v>
      </c>
      <c r="B256" s="3">
        <f t="shared" si="2"/>
        <v>45523</v>
      </c>
      <c r="C256" s="3" t="str">
        <f t="shared" si="3"/>
        <v/>
      </c>
      <c r="D256" s="3" t="str">
        <f t="shared" si="4"/>
        <v>Pending</v>
      </c>
      <c r="E256" s="2" t="str">
        <f t="shared" si="5"/>
        <v/>
      </c>
      <c r="F256" s="2" t="str">
        <f t="array" ref="F256">INDEX(lists!F:F,RANDBETWEEN(1,6))
</f>
        <v>Household Essentials</v>
      </c>
      <c r="G256" s="2" t="str">
        <f t="array" ref="G256">IFS(
F256="Bedroom",INDEX(lists!G:G,RANDBETWEEN(1,4)),
F256="Living Room",INDEX(lists!H:H,RANDBETWEEN(1,4)),
F256="Dining",INDEX(lists!I:I,RANDBETWEEN(1,2)),
F256="Kitchen",INDEX(lists!J:J,RANDBETWEEN(1,4)),
F256="Office",INDEX(lists!K:K,RANDBETWEEN(1,3)),
F256="Household Essentials",INDEX(lists!L:L,RANDBETWEEN(1,3))
)
</f>
        <v>Lamps</v>
      </c>
      <c r="H256" s="2">
        <f t="shared" si="6"/>
        <v>1</v>
      </c>
      <c r="I256" s="2" t="str">
        <f t="shared" si="7"/>
        <v/>
      </c>
      <c r="J256" s="2" t="str">
        <f t="array" ref="J256">INDEX(lists!A:A,RANDBETWEEN(1,19))
</f>
        <v>Developers Collaborative</v>
      </c>
      <c r="K256" s="2" t="str">
        <f t="array" ref="K256">INDEX(lists!N:N,RANDBETWEEN(1,6))
</f>
        <v>Westbrook</v>
      </c>
      <c r="L256" s="2">
        <f t="shared" si="8"/>
        <v>5</v>
      </c>
      <c r="M256" s="2" t="str">
        <f t="array" ref="M256">INDEX(lists!O:O,RANDBETWEEN(1,2))
</f>
        <v>Pickup</v>
      </c>
      <c r="N256" s="2">
        <f t="shared" si="9"/>
        <v>1</v>
      </c>
    </row>
    <row r="257">
      <c r="A257" s="2">
        <f t="shared" si="1"/>
        <v>256</v>
      </c>
      <c r="B257" s="3">
        <f t="shared" si="2"/>
        <v>45562</v>
      </c>
      <c r="C257" s="3">
        <f t="shared" si="3"/>
        <v>45568</v>
      </c>
      <c r="D257" s="3" t="str">
        <f t="shared" si="4"/>
        <v>Completed</v>
      </c>
      <c r="E257" s="2">
        <f t="shared" si="5"/>
        <v>6</v>
      </c>
      <c r="F257" s="2" t="str">
        <f t="array" ref="F257">INDEX(lists!F:F,RANDBETWEEN(1,6))
</f>
        <v>Household Essentials</v>
      </c>
      <c r="G257" s="2" t="str">
        <f t="array" ref="G257">IFS(
F257="Bedroom",INDEX(lists!G:G,RANDBETWEEN(1,4)),
F257="Living Room",INDEX(lists!H:H,RANDBETWEEN(1,4)),
F257="Dining",INDEX(lists!I:I,RANDBETWEEN(1,2)),
F257="Kitchen",INDEX(lists!J:J,RANDBETWEEN(1,4)),
F257="Office",INDEX(lists!K:K,RANDBETWEEN(1,3)),
F257="Household Essentials",INDEX(lists!L:L,RANDBETWEEN(1,3))
)
</f>
        <v>Lamps</v>
      </c>
      <c r="H257" s="2">
        <f t="shared" si="6"/>
        <v>1</v>
      </c>
      <c r="I257" s="2">
        <f t="shared" si="7"/>
        <v>1</v>
      </c>
      <c r="J257" s="2" t="str">
        <f t="array" ref="J257">INDEX(lists!A:A,RANDBETWEEN(1,19))
</f>
        <v>Westbrook Housing</v>
      </c>
      <c r="K257" s="2" t="str">
        <f t="array" ref="K257">INDEX(lists!N:N,RANDBETWEEN(1,6))
</f>
        <v>Westbrook</v>
      </c>
      <c r="L257" s="2">
        <f t="shared" si="8"/>
        <v>5</v>
      </c>
      <c r="M257" s="2" t="str">
        <f t="array" ref="M257">INDEX(lists!O:O,RANDBETWEEN(1,2))
</f>
        <v>Pickup</v>
      </c>
      <c r="N257" s="2">
        <f t="shared" si="9"/>
        <v>1</v>
      </c>
    </row>
    <row r="258">
      <c r="A258" s="2">
        <f t="shared" si="1"/>
        <v>257</v>
      </c>
      <c r="B258" s="3">
        <f t="shared" si="2"/>
        <v>45556</v>
      </c>
      <c r="C258" s="3">
        <f t="shared" si="3"/>
        <v>45569</v>
      </c>
      <c r="D258" s="3" t="str">
        <f t="shared" si="4"/>
        <v>Completed</v>
      </c>
      <c r="E258" s="2">
        <f t="shared" si="5"/>
        <v>13</v>
      </c>
      <c r="F258" s="2" t="str">
        <f t="array" ref="F258">INDEX(lists!F:F,RANDBETWEEN(1,6))
</f>
        <v>Office</v>
      </c>
      <c r="G258" s="2" t="str">
        <f t="array" ref="G258">IFS(
F258="Bedroom",INDEX(lists!G:G,RANDBETWEEN(1,4)),
F258="Living Room",INDEX(lists!H:H,RANDBETWEEN(1,4)),
F258="Dining",INDEX(lists!I:I,RANDBETWEEN(1,2)),
F258="Kitchen",INDEX(lists!J:J,RANDBETWEEN(1,4)),
F258="Office",INDEX(lists!K:K,RANDBETWEEN(1,3)),
F258="Household Essentials",INDEX(lists!L:L,RANDBETWEEN(1,3))
)
</f>
        <v>Desk</v>
      </c>
      <c r="H258" s="2">
        <f t="shared" si="6"/>
        <v>3</v>
      </c>
      <c r="I258" s="2">
        <f t="shared" si="7"/>
        <v>1</v>
      </c>
      <c r="J258" s="2" t="str">
        <f t="array" ref="J258">INDEX(lists!A:A,RANDBETWEEN(1,19))
</f>
        <v>Maine Community Bank</v>
      </c>
      <c r="K258" s="2" t="str">
        <f t="array" ref="K258">INDEX(lists!N:N,RANDBETWEEN(1,6))
</f>
        <v>Biddeford</v>
      </c>
      <c r="L258" s="2">
        <f t="shared" si="8"/>
        <v>2</v>
      </c>
      <c r="M258" s="2" t="str">
        <f t="array" ref="M258">INDEX(lists!O:O,RANDBETWEEN(1,2))
</f>
        <v>Pickup</v>
      </c>
      <c r="N258" s="2">
        <f t="shared" si="9"/>
        <v>6</v>
      </c>
    </row>
    <row r="259">
      <c r="A259" s="2">
        <f t="shared" si="1"/>
        <v>258</v>
      </c>
      <c r="B259" s="3">
        <f t="shared" si="2"/>
        <v>45366</v>
      </c>
      <c r="C259" s="3">
        <f t="shared" si="3"/>
        <v>45375</v>
      </c>
      <c r="D259" s="3" t="str">
        <f t="shared" si="4"/>
        <v>Completed</v>
      </c>
      <c r="E259" s="2">
        <f t="shared" si="5"/>
        <v>9</v>
      </c>
      <c r="F259" s="2" t="str">
        <f t="array" ref="F259">INDEX(lists!F:F,RANDBETWEEN(1,6))
</f>
        <v>Dining</v>
      </c>
      <c r="G259" s="2" t="str">
        <f t="array" ref="G259">IFS(
F259="Bedroom",INDEX(lists!G:G,RANDBETWEEN(1,4)),
F259="Living Room",INDEX(lists!H:H,RANDBETWEEN(1,4)),
F259="Dining",INDEX(lists!I:I,RANDBETWEEN(1,2)),
F259="Kitchen",INDEX(lists!J:J,RANDBETWEEN(1,4)),
F259="Office",INDEX(lists!K:K,RANDBETWEEN(1,3)),
F259="Household Essentials",INDEX(lists!L:L,RANDBETWEEN(1,3))
)
</f>
        <v>Dining Table</v>
      </c>
      <c r="H259" s="2">
        <f t="shared" si="6"/>
        <v>4</v>
      </c>
      <c r="I259" s="2">
        <f t="shared" si="7"/>
        <v>2</v>
      </c>
      <c r="J259" s="2" t="str">
        <f t="array" ref="J259">INDEX(lists!A:A,RANDBETWEEN(1,19))
</f>
        <v>Westbrook Housing</v>
      </c>
      <c r="K259" s="2" t="str">
        <f t="array" ref="K259">INDEX(lists!N:N,RANDBETWEEN(1,6))
</f>
        <v>Biddeford</v>
      </c>
      <c r="L259" s="2">
        <f t="shared" si="8"/>
        <v>1</v>
      </c>
      <c r="M259" s="2" t="str">
        <f t="array" ref="M259">INDEX(lists!O:O,RANDBETWEEN(1,2))
</f>
        <v>Pickup</v>
      </c>
      <c r="N259" s="2">
        <f t="shared" si="9"/>
        <v>3</v>
      </c>
    </row>
    <row r="260">
      <c r="A260" s="2">
        <f t="shared" si="1"/>
        <v>259</v>
      </c>
      <c r="B260" s="3">
        <f t="shared" si="2"/>
        <v>45471</v>
      </c>
      <c r="C260" s="3">
        <f t="shared" si="3"/>
        <v>45485</v>
      </c>
      <c r="D260" s="3" t="str">
        <f t="shared" si="4"/>
        <v>Completed</v>
      </c>
      <c r="E260" s="2">
        <f t="shared" si="5"/>
        <v>14</v>
      </c>
      <c r="F260" s="2" t="str">
        <f t="array" ref="F260">INDEX(lists!F:F,RANDBETWEEN(1,6))
</f>
        <v>Household Essentials</v>
      </c>
      <c r="G260" s="2" t="str">
        <f t="array" ref="G260">IFS(
F260="Bedroom",INDEX(lists!G:G,RANDBETWEEN(1,4)),
F260="Living Room",INDEX(lists!H:H,RANDBETWEEN(1,4)),
F260="Dining",INDEX(lists!I:I,RANDBETWEEN(1,2)),
F260="Kitchen",INDEX(lists!J:J,RANDBETWEEN(1,4)),
F260="Office",INDEX(lists!K:K,RANDBETWEEN(1,3)),
F260="Household Essentials",INDEX(lists!L:L,RANDBETWEEN(1,3))
)
</f>
        <v>Bedding</v>
      </c>
      <c r="H260" s="2">
        <f t="shared" si="6"/>
        <v>4</v>
      </c>
      <c r="I260" s="2">
        <f t="shared" si="7"/>
        <v>3</v>
      </c>
      <c r="J260" s="2" t="str">
        <f t="array" ref="J260">INDEX(lists!A:A,RANDBETWEEN(1,19))
</f>
        <v>Spiritual Workers</v>
      </c>
      <c r="K260" s="2" t="str">
        <f t="array" ref="K260">INDEX(lists!N:N,RANDBETWEEN(1,6))
</f>
        <v>Biddeford</v>
      </c>
      <c r="L260" s="2">
        <f t="shared" si="8"/>
        <v>3</v>
      </c>
      <c r="M260" s="2" t="str">
        <f t="array" ref="M260">INDEX(lists!O:O,RANDBETWEEN(1,2))
</f>
        <v>Pickup</v>
      </c>
      <c r="N260" s="2">
        <f t="shared" si="9"/>
        <v>1</v>
      </c>
    </row>
    <row r="261">
      <c r="A261" s="2">
        <f t="shared" si="1"/>
        <v>260</v>
      </c>
      <c r="B261" s="3">
        <f t="shared" si="2"/>
        <v>45337</v>
      </c>
      <c r="C261" s="3">
        <f t="shared" si="3"/>
        <v>45361</v>
      </c>
      <c r="D261" s="3" t="str">
        <f t="shared" si="4"/>
        <v>Completed</v>
      </c>
      <c r="E261" s="2">
        <f t="shared" si="5"/>
        <v>24</v>
      </c>
      <c r="F261" s="2" t="str">
        <f t="array" ref="F261">INDEX(lists!F:F,RANDBETWEEN(1,6))
</f>
        <v>Bedroom</v>
      </c>
      <c r="G261" s="2" t="str">
        <f t="array" ref="G261">IFS(
F261="Bedroom",INDEX(lists!G:G,RANDBETWEEN(1,4)),
F261="Living Room",INDEX(lists!H:H,RANDBETWEEN(1,4)),
F261="Dining",INDEX(lists!I:I,RANDBETWEEN(1,2)),
F261="Kitchen",INDEX(lists!J:J,RANDBETWEEN(1,4)),
F261="Office",INDEX(lists!K:K,RANDBETWEEN(1,3)),
F261="Household Essentials",INDEX(lists!L:L,RANDBETWEEN(1,3))
)
</f>
        <v>Dresser</v>
      </c>
      <c r="H261" s="2">
        <f t="shared" si="6"/>
        <v>3</v>
      </c>
      <c r="I261" s="2">
        <f t="shared" si="7"/>
        <v>3</v>
      </c>
      <c r="J261" s="2" t="str">
        <f t="array" ref="J261">INDEX(lists!A:A,RANDBETWEEN(1,19))
</f>
        <v>Keybank</v>
      </c>
      <c r="K261" s="2" t="str">
        <f t="array" ref="K261">INDEX(lists!N:N,RANDBETWEEN(1,6))
</f>
        <v>Falmouth</v>
      </c>
      <c r="L261" s="2">
        <f t="shared" si="8"/>
        <v>6</v>
      </c>
      <c r="M261" s="2" t="str">
        <f t="array" ref="M261">INDEX(lists!O:O,RANDBETWEEN(1,2))
</f>
        <v>Delivery</v>
      </c>
      <c r="N261" s="2">
        <f t="shared" si="9"/>
        <v>1</v>
      </c>
    </row>
    <row r="262">
      <c r="A262" s="2">
        <f t="shared" si="1"/>
        <v>261</v>
      </c>
      <c r="B262" s="3">
        <f t="shared" si="2"/>
        <v>45606</v>
      </c>
      <c r="C262" s="3" t="str">
        <f t="shared" si="3"/>
        <v/>
      </c>
      <c r="D262" s="3" t="str">
        <f t="shared" si="4"/>
        <v>Pending</v>
      </c>
      <c r="E262" s="2" t="str">
        <f t="shared" si="5"/>
        <v/>
      </c>
      <c r="F262" s="2" t="str">
        <f t="array" ref="F262">INDEX(lists!F:F,RANDBETWEEN(1,6))
</f>
        <v>Dining</v>
      </c>
      <c r="G262" s="2" t="str">
        <f t="array" ref="G262">IFS(
F262="Bedroom",INDEX(lists!G:G,RANDBETWEEN(1,4)),
F262="Living Room",INDEX(lists!H:H,RANDBETWEEN(1,4)),
F262="Dining",INDEX(lists!I:I,RANDBETWEEN(1,2)),
F262="Kitchen",INDEX(lists!J:J,RANDBETWEEN(1,4)),
F262="Office",INDEX(lists!K:K,RANDBETWEEN(1,3)),
F262="Household Essentials",INDEX(lists!L:L,RANDBETWEEN(1,3))
)
</f>
        <v>Dining Table</v>
      </c>
      <c r="H262" s="2">
        <f t="shared" si="6"/>
        <v>4</v>
      </c>
      <c r="I262" s="2" t="str">
        <f t="shared" si="7"/>
        <v/>
      </c>
      <c r="J262" s="2" t="str">
        <f t="array" ref="J262">INDEX(lists!A:A,RANDBETWEEN(1,19))
</f>
        <v>Spiritual Workers</v>
      </c>
      <c r="K262" s="2" t="str">
        <f t="array" ref="K262">INDEX(lists!N:N,RANDBETWEEN(1,6))
</f>
        <v>Westbrook</v>
      </c>
      <c r="L262" s="2">
        <f t="shared" si="8"/>
        <v>1</v>
      </c>
      <c r="M262" s="2" t="str">
        <f t="array" ref="M262">INDEX(lists!O:O,RANDBETWEEN(1,2))
</f>
        <v>Pickup</v>
      </c>
      <c r="N262" s="2">
        <f t="shared" si="9"/>
        <v>6</v>
      </c>
    </row>
    <row r="263">
      <c r="A263" s="2">
        <f t="shared" si="1"/>
        <v>262</v>
      </c>
      <c r="B263" s="3">
        <f t="shared" si="2"/>
        <v>45425</v>
      </c>
      <c r="C263" s="3">
        <f t="shared" si="3"/>
        <v>45452</v>
      </c>
      <c r="D263" s="3" t="str">
        <f t="shared" si="4"/>
        <v>Completed</v>
      </c>
      <c r="E263" s="2">
        <f t="shared" si="5"/>
        <v>27</v>
      </c>
      <c r="F263" s="2" t="str">
        <f t="array" ref="F263">INDEX(lists!F:F,RANDBETWEEN(1,6))
</f>
        <v>Household Essentials</v>
      </c>
      <c r="G263" s="2" t="str">
        <f t="array" ref="G263">IFS(
F263="Bedroom",INDEX(lists!G:G,RANDBETWEEN(1,4)),
F263="Living Room",INDEX(lists!H:H,RANDBETWEEN(1,4)),
F263="Dining",INDEX(lists!I:I,RANDBETWEEN(1,2)),
F263="Kitchen",INDEX(lists!J:J,RANDBETWEEN(1,4)),
F263="Office",INDEX(lists!K:K,RANDBETWEEN(1,3)),
F263="Household Essentials",INDEX(lists!L:L,RANDBETWEEN(1,3))
)
</f>
        <v>Rugs</v>
      </c>
      <c r="H263" s="2">
        <f t="shared" si="6"/>
        <v>1</v>
      </c>
      <c r="I263" s="2">
        <f t="shared" si="7"/>
        <v>1</v>
      </c>
      <c r="J263" s="2" t="str">
        <f t="array" ref="J263">INDEX(lists!A:A,RANDBETWEEN(1,19))
</f>
        <v>Diversified</v>
      </c>
      <c r="K263" s="2" t="str">
        <f t="array" ref="K263">INDEX(lists!N:N,RANDBETWEEN(1,6))
</f>
        <v>Portland</v>
      </c>
      <c r="L263" s="2">
        <f t="shared" si="8"/>
        <v>1</v>
      </c>
      <c r="M263" s="2" t="str">
        <f t="array" ref="M263">INDEX(lists!O:O,RANDBETWEEN(1,2))
</f>
        <v>Pickup</v>
      </c>
      <c r="N263" s="2">
        <f t="shared" si="9"/>
        <v>1</v>
      </c>
    </row>
    <row r="264">
      <c r="A264" s="2">
        <f t="shared" si="1"/>
        <v>263</v>
      </c>
      <c r="B264" s="3">
        <f t="shared" si="2"/>
        <v>45542</v>
      </c>
      <c r="C264" s="3">
        <f t="shared" si="3"/>
        <v>45579</v>
      </c>
      <c r="D264" s="3" t="str">
        <f t="shared" si="4"/>
        <v>Completed</v>
      </c>
      <c r="E264" s="2">
        <f t="shared" si="5"/>
        <v>37</v>
      </c>
      <c r="F264" s="2" t="str">
        <f t="array" ref="F264">INDEX(lists!F:F,RANDBETWEEN(1,6))
</f>
        <v>Office</v>
      </c>
      <c r="G264" s="2" t="str">
        <f t="array" ref="G264">IFS(
F264="Bedroom",INDEX(lists!G:G,RANDBETWEEN(1,4)),
F264="Living Room",INDEX(lists!H:H,RANDBETWEEN(1,4)),
F264="Dining",INDEX(lists!I:I,RANDBETWEEN(1,2)),
F264="Kitchen",INDEX(lists!J:J,RANDBETWEEN(1,4)),
F264="Office",INDEX(lists!K:K,RANDBETWEEN(1,3)),
F264="Household Essentials",INDEX(lists!L:L,RANDBETWEEN(1,3))
)
</f>
        <v>Bookshelf</v>
      </c>
      <c r="H264" s="2">
        <f t="shared" si="6"/>
        <v>1</v>
      </c>
      <c r="I264" s="2">
        <f t="shared" si="7"/>
        <v>1</v>
      </c>
      <c r="J264" s="2" t="str">
        <f t="array" ref="J264">INDEX(lists!A:A,RANDBETWEEN(1,19))
</f>
        <v>Systems Engineering</v>
      </c>
      <c r="K264" s="2" t="str">
        <f t="array" ref="K264">INDEX(lists!N:N,RANDBETWEEN(1,6))
</f>
        <v>Westbrook</v>
      </c>
      <c r="L264" s="2">
        <f t="shared" si="8"/>
        <v>5</v>
      </c>
      <c r="M264" s="2" t="str">
        <f t="array" ref="M264">INDEX(lists!O:O,RANDBETWEEN(1,2))
</f>
        <v>Pickup</v>
      </c>
      <c r="N264" s="2">
        <f t="shared" si="9"/>
        <v>3</v>
      </c>
    </row>
    <row r="265">
      <c r="A265" s="2">
        <f t="shared" si="1"/>
        <v>264</v>
      </c>
      <c r="B265" s="3">
        <f t="shared" si="2"/>
        <v>45565</v>
      </c>
      <c r="C265" s="3">
        <f t="shared" si="3"/>
        <v>45604</v>
      </c>
      <c r="D265" s="3" t="str">
        <f t="shared" si="4"/>
        <v>Completed</v>
      </c>
      <c r="E265" s="2">
        <f t="shared" si="5"/>
        <v>39</v>
      </c>
      <c r="F265" s="2" t="str">
        <f t="array" ref="F265">INDEX(lists!F:F,RANDBETWEEN(1,6))
</f>
        <v>Bedroom</v>
      </c>
      <c r="G265" s="2" t="str">
        <f t="array" ref="G265">IFS(
F265="Bedroom",INDEX(lists!G:G,RANDBETWEEN(1,4)),
F265="Living Room",INDEX(lists!H:H,RANDBETWEEN(1,4)),
F265="Dining",INDEX(lists!I:I,RANDBETWEEN(1,2)),
F265="Kitchen",INDEX(lists!J:J,RANDBETWEEN(1,4)),
F265="Office",INDEX(lists!K:K,RANDBETWEEN(1,3)),
F265="Household Essentials",INDEX(lists!L:L,RANDBETWEEN(1,3))
)
</f>
        <v>Mattress</v>
      </c>
      <c r="H265" s="2">
        <f t="shared" si="6"/>
        <v>4</v>
      </c>
      <c r="I265" s="2">
        <f t="shared" si="7"/>
        <v>1</v>
      </c>
      <c r="J265" s="2" t="str">
        <f t="array" ref="J265">INDEX(lists!A:A,RANDBETWEEN(1,19))
</f>
        <v>Center for Real Estate Studies</v>
      </c>
      <c r="K265" s="2" t="str">
        <f t="array" ref="K265">INDEX(lists!N:N,RANDBETWEEN(1,6))
</f>
        <v>Biddeford</v>
      </c>
      <c r="L265" s="2">
        <f t="shared" si="8"/>
        <v>6</v>
      </c>
      <c r="M265" s="2" t="str">
        <f t="array" ref="M265">INDEX(lists!O:O,RANDBETWEEN(1,2))
</f>
        <v>Delivery</v>
      </c>
      <c r="N265" s="2">
        <f t="shared" si="9"/>
        <v>6</v>
      </c>
    </row>
    <row r="266">
      <c r="A266" s="2">
        <f t="shared" si="1"/>
        <v>265</v>
      </c>
      <c r="B266" s="3">
        <f t="shared" si="2"/>
        <v>45759</v>
      </c>
      <c r="C266" s="3" t="str">
        <f t="shared" si="3"/>
        <v/>
      </c>
      <c r="D266" s="3" t="str">
        <f t="shared" si="4"/>
        <v>Cancelled</v>
      </c>
      <c r="E266" s="2" t="str">
        <f t="shared" si="5"/>
        <v/>
      </c>
      <c r="F266" s="2" t="str">
        <f t="array" ref="F266">INDEX(lists!F:F,RANDBETWEEN(1,6))
</f>
        <v>Living Room</v>
      </c>
      <c r="G266" s="2" t="str">
        <f t="array" ref="G266">IFS(
F266="Bedroom",INDEX(lists!G:G,RANDBETWEEN(1,4)),
F266="Living Room",INDEX(lists!H:H,RANDBETWEEN(1,4)),
F266="Dining",INDEX(lists!I:I,RANDBETWEEN(1,2)),
F266="Kitchen",INDEX(lists!J:J,RANDBETWEEN(1,4)),
F266="Office",INDEX(lists!K:K,RANDBETWEEN(1,3)),
F266="Household Essentials",INDEX(lists!L:L,RANDBETWEEN(1,3))
)
</f>
        <v>TV Stand</v>
      </c>
      <c r="H266" s="2">
        <f t="shared" si="6"/>
        <v>3</v>
      </c>
      <c r="I266" s="2" t="str">
        <f t="shared" si="7"/>
        <v/>
      </c>
      <c r="J266" s="2" t="str">
        <f t="array" ref="J266">INDEX(lists!A:A,RANDBETWEEN(1,19))
</f>
        <v>Saco &amp; Biddeford Savings</v>
      </c>
      <c r="K266" s="2" t="str">
        <f t="array" ref="K266">INDEX(lists!N:N,RANDBETWEEN(1,6))
</f>
        <v>Westbrook</v>
      </c>
      <c r="L266" s="2">
        <f t="shared" si="8"/>
        <v>2</v>
      </c>
      <c r="M266" s="2" t="str">
        <f t="array" ref="M266">INDEX(lists!O:O,RANDBETWEEN(1,2))
</f>
        <v>Delivery</v>
      </c>
      <c r="N266" s="2">
        <f t="shared" si="9"/>
        <v>4</v>
      </c>
    </row>
    <row r="267">
      <c r="A267" s="2">
        <f t="shared" si="1"/>
        <v>266</v>
      </c>
      <c r="B267" s="3">
        <f t="shared" si="2"/>
        <v>45764</v>
      </c>
      <c r="C267" s="3" t="str">
        <f t="shared" si="3"/>
        <v/>
      </c>
      <c r="D267" s="3" t="str">
        <f t="shared" si="4"/>
        <v>Cancelled</v>
      </c>
      <c r="E267" s="2" t="str">
        <f t="shared" si="5"/>
        <v/>
      </c>
      <c r="F267" s="2" t="str">
        <f t="array" ref="F267">INDEX(lists!F:F,RANDBETWEEN(1,6))
</f>
        <v>Living Room</v>
      </c>
      <c r="G267" s="2" t="str">
        <f t="array" ref="G267">IFS(
F267="Bedroom",INDEX(lists!G:G,RANDBETWEEN(1,4)),
F267="Living Room",INDEX(lists!H:H,RANDBETWEEN(1,4)),
F267="Dining",INDEX(lists!I:I,RANDBETWEEN(1,2)),
F267="Kitchen",INDEX(lists!J:J,RANDBETWEEN(1,4)),
F267="Office",INDEX(lists!K:K,RANDBETWEEN(1,3)),
F267="Household Essentials",INDEX(lists!L:L,RANDBETWEEN(1,3))
)
</f>
        <v>Sofa</v>
      </c>
      <c r="H267" s="2">
        <f t="shared" si="6"/>
        <v>1</v>
      </c>
      <c r="I267" s="2" t="str">
        <f t="shared" si="7"/>
        <v/>
      </c>
      <c r="J267" s="2" t="str">
        <f t="array" ref="J267">INDEX(lists!A:A,RANDBETWEEN(1,19))
</f>
        <v>GoGo Refill</v>
      </c>
      <c r="K267" s="2" t="str">
        <f t="array" ref="K267">INDEX(lists!N:N,RANDBETWEEN(1,6))
</f>
        <v>South Portland</v>
      </c>
      <c r="L267" s="2">
        <f t="shared" si="8"/>
        <v>1</v>
      </c>
      <c r="M267" s="2" t="str">
        <f t="array" ref="M267">INDEX(lists!O:O,RANDBETWEEN(1,2))
</f>
        <v>Pickup</v>
      </c>
      <c r="N267" s="2">
        <f t="shared" si="9"/>
        <v>3</v>
      </c>
    </row>
    <row r="268">
      <c r="A268" s="2">
        <f t="shared" si="1"/>
        <v>267</v>
      </c>
      <c r="B268" s="3">
        <f t="shared" si="2"/>
        <v>45708</v>
      </c>
      <c r="C268" s="3">
        <f t="shared" si="3"/>
        <v>45718</v>
      </c>
      <c r="D268" s="3" t="str">
        <f t="shared" si="4"/>
        <v>Completed</v>
      </c>
      <c r="E268" s="2">
        <f t="shared" si="5"/>
        <v>10</v>
      </c>
      <c r="F268" s="2" t="str">
        <f t="array" ref="F268">INDEX(lists!F:F,RANDBETWEEN(1,6))
</f>
        <v>Bedroom</v>
      </c>
      <c r="G268" s="2" t="str">
        <f t="array" ref="G268">IFS(
F268="Bedroom",INDEX(lists!G:G,RANDBETWEEN(1,4)),
F268="Living Room",INDEX(lists!H:H,RANDBETWEEN(1,4)),
F268="Dining",INDEX(lists!I:I,RANDBETWEEN(1,2)),
F268="Kitchen",INDEX(lists!J:J,RANDBETWEEN(1,4)),
F268="Office",INDEX(lists!K:K,RANDBETWEEN(1,3)),
F268="Household Essentials",INDEX(lists!L:L,RANDBETWEEN(1,3))
)
</f>
        <v>Dresser</v>
      </c>
      <c r="H268" s="2">
        <f t="shared" si="6"/>
        <v>1</v>
      </c>
      <c r="I268" s="2">
        <f t="shared" si="7"/>
        <v>1</v>
      </c>
      <c r="J268" s="2" t="str">
        <f t="array" ref="J268">INDEX(lists!A:A,RANDBETWEEN(1,19))
</f>
        <v>Systems Engineering</v>
      </c>
      <c r="K268" s="2" t="str">
        <f t="array" ref="K268">INDEX(lists!N:N,RANDBETWEEN(1,6))
</f>
        <v>Scarborough</v>
      </c>
      <c r="L268" s="2">
        <f t="shared" si="8"/>
        <v>5</v>
      </c>
      <c r="M268" s="2" t="str">
        <f t="array" ref="M268">INDEX(lists!O:O,RANDBETWEEN(1,2))
</f>
        <v>Pickup</v>
      </c>
      <c r="N268" s="2">
        <f t="shared" si="9"/>
        <v>2</v>
      </c>
    </row>
    <row r="269">
      <c r="A269" s="2">
        <f t="shared" si="1"/>
        <v>268</v>
      </c>
      <c r="B269" s="3">
        <f t="shared" si="2"/>
        <v>45322</v>
      </c>
      <c r="C269" s="3">
        <f t="shared" si="3"/>
        <v>45350</v>
      </c>
      <c r="D269" s="3" t="str">
        <f t="shared" si="4"/>
        <v>Completed</v>
      </c>
      <c r="E269" s="2">
        <f t="shared" si="5"/>
        <v>28</v>
      </c>
      <c r="F269" s="2" t="str">
        <f t="array" ref="F269">INDEX(lists!F:F,RANDBETWEEN(1,6))
</f>
        <v>Household Essentials</v>
      </c>
      <c r="G269" s="2" t="str">
        <f t="array" ref="G269">IFS(
F269="Bedroom",INDEX(lists!G:G,RANDBETWEEN(1,4)),
F269="Living Room",INDEX(lists!H:H,RANDBETWEEN(1,4)),
F269="Dining",INDEX(lists!I:I,RANDBETWEEN(1,2)),
F269="Kitchen",INDEX(lists!J:J,RANDBETWEEN(1,4)),
F269="Office",INDEX(lists!K:K,RANDBETWEEN(1,3)),
F269="Household Essentials",INDEX(lists!L:L,RANDBETWEEN(1,3))
)
</f>
        <v>Lamps</v>
      </c>
      <c r="H269" s="2">
        <f t="shared" si="6"/>
        <v>3</v>
      </c>
      <c r="I269" s="2">
        <f t="shared" si="7"/>
        <v>1</v>
      </c>
      <c r="J269" s="2" t="str">
        <f t="array" ref="J269">INDEX(lists!A:A,RANDBETWEEN(1,19))
</f>
        <v>Maine Community Bank</v>
      </c>
      <c r="K269" s="2" t="str">
        <f t="array" ref="K269">INDEX(lists!N:N,RANDBETWEEN(1,6))
</f>
        <v>South Portland</v>
      </c>
      <c r="L269" s="2">
        <f t="shared" si="8"/>
        <v>6</v>
      </c>
      <c r="M269" s="2" t="str">
        <f t="array" ref="M269">INDEX(lists!O:O,RANDBETWEEN(1,2))
</f>
        <v>Delivery</v>
      </c>
      <c r="N269" s="2">
        <f t="shared" si="9"/>
        <v>5</v>
      </c>
    </row>
    <row r="270">
      <c r="A270" s="2">
        <f t="shared" si="1"/>
        <v>269</v>
      </c>
      <c r="B270" s="3">
        <f t="shared" si="2"/>
        <v>45821</v>
      </c>
      <c r="C270" s="3">
        <f t="shared" si="3"/>
        <v>45825</v>
      </c>
      <c r="D270" s="3" t="str">
        <f t="shared" si="4"/>
        <v>Completed</v>
      </c>
      <c r="E270" s="2">
        <f t="shared" si="5"/>
        <v>4</v>
      </c>
      <c r="F270" s="2" t="str">
        <f t="array" ref="F270">INDEX(lists!F:F,RANDBETWEEN(1,6))
</f>
        <v>Kitchen</v>
      </c>
      <c r="G270" s="2" t="str">
        <f t="array" ref="G270">IFS(
F270="Bedroom",INDEX(lists!G:G,RANDBETWEEN(1,4)),
F270="Living Room",INDEX(lists!H:H,RANDBETWEEN(1,4)),
F270="Dining",INDEX(lists!I:I,RANDBETWEEN(1,2)),
F270="Kitchen",INDEX(lists!J:J,RANDBETWEEN(1,4)),
F270="Office",INDEX(lists!K:K,RANDBETWEEN(1,3)),
F270="Household Essentials",INDEX(lists!L:L,RANDBETWEEN(1,3))
)
</f>
        <v>Dishes</v>
      </c>
      <c r="H270" s="2">
        <f t="shared" si="6"/>
        <v>3</v>
      </c>
      <c r="I270" s="2">
        <f t="shared" si="7"/>
        <v>2</v>
      </c>
      <c r="J270" s="2" t="str">
        <f t="array" ref="J270">INDEX(lists!A:A,RANDBETWEEN(1,19))
</f>
        <v>Portland Mattress Makers</v>
      </c>
      <c r="K270" s="2" t="str">
        <f t="array" ref="K270">INDEX(lists!N:N,RANDBETWEEN(1,6))
</f>
        <v>Westbrook</v>
      </c>
      <c r="L270" s="2">
        <f t="shared" si="8"/>
        <v>2</v>
      </c>
      <c r="M270" s="2" t="str">
        <f t="array" ref="M270">INDEX(lists!O:O,RANDBETWEEN(1,2))
</f>
        <v>Delivery</v>
      </c>
      <c r="N270" s="2">
        <f t="shared" si="9"/>
        <v>4</v>
      </c>
    </row>
    <row r="271">
      <c r="A271" s="2">
        <f t="shared" si="1"/>
        <v>270</v>
      </c>
      <c r="B271" s="3">
        <f t="shared" si="2"/>
        <v>45443</v>
      </c>
      <c r="C271" s="3">
        <f t="shared" si="3"/>
        <v>45450</v>
      </c>
      <c r="D271" s="3" t="str">
        <f t="shared" si="4"/>
        <v>Completed</v>
      </c>
      <c r="E271" s="2">
        <f t="shared" si="5"/>
        <v>7</v>
      </c>
      <c r="F271" s="2" t="str">
        <f t="array" ref="F271">INDEX(lists!F:F,RANDBETWEEN(1,6))
</f>
        <v>Bedroom</v>
      </c>
      <c r="G271" s="2" t="str">
        <f t="array" ref="G271">IFS(
F271="Bedroom",INDEX(lists!G:G,RANDBETWEEN(1,4)),
F271="Living Room",INDEX(lists!H:H,RANDBETWEEN(1,4)),
F271="Dining",INDEX(lists!I:I,RANDBETWEEN(1,2)),
F271="Kitchen",INDEX(lists!J:J,RANDBETWEEN(1,4)),
F271="Office",INDEX(lists!K:K,RANDBETWEEN(1,3)),
F271="Household Essentials",INDEX(lists!L:L,RANDBETWEEN(1,3))
)
</f>
        <v>Dresser</v>
      </c>
      <c r="H271" s="2">
        <f t="shared" si="6"/>
        <v>4</v>
      </c>
      <c r="I271" s="2">
        <f t="shared" si="7"/>
        <v>4</v>
      </c>
      <c r="J271" s="2" t="str">
        <f t="array" ref="J271">INDEX(lists!A:A,RANDBETWEEN(1,19))
</f>
        <v>Maine Community Bank</v>
      </c>
      <c r="K271" s="2" t="str">
        <f t="array" ref="K271">INDEX(lists!N:N,RANDBETWEEN(1,6))
</f>
        <v>Falmouth</v>
      </c>
      <c r="L271" s="2">
        <f t="shared" si="8"/>
        <v>5</v>
      </c>
      <c r="M271" s="2" t="str">
        <f t="array" ref="M271">INDEX(lists!O:O,RANDBETWEEN(1,2))
</f>
        <v>Pickup</v>
      </c>
      <c r="N271" s="2">
        <f t="shared" si="9"/>
        <v>3</v>
      </c>
    </row>
    <row r="272">
      <c r="A272" s="2">
        <f t="shared" si="1"/>
        <v>271</v>
      </c>
      <c r="B272" s="3">
        <f t="shared" si="2"/>
        <v>45591</v>
      </c>
      <c r="C272" s="3">
        <f t="shared" si="3"/>
        <v>45597</v>
      </c>
      <c r="D272" s="3" t="str">
        <f t="shared" si="4"/>
        <v>Completed</v>
      </c>
      <c r="E272" s="2">
        <f t="shared" si="5"/>
        <v>6</v>
      </c>
      <c r="F272" s="2" t="str">
        <f t="array" ref="F272">INDEX(lists!F:F,RANDBETWEEN(1,6))
</f>
        <v>Kitchen</v>
      </c>
      <c r="G272" s="2" t="str">
        <f t="array" ref="G272">IFS(
F272="Bedroom",INDEX(lists!G:G,RANDBETWEEN(1,4)),
F272="Living Room",INDEX(lists!H:H,RANDBETWEEN(1,4)),
F272="Dining",INDEX(lists!I:I,RANDBETWEEN(1,2)),
F272="Kitchen",INDEX(lists!J:J,RANDBETWEEN(1,4)),
F272="Office",INDEX(lists!K:K,RANDBETWEEN(1,3)),
F272="Household Essentials",INDEX(lists!L:L,RANDBETWEEN(1,3))
)
</f>
        <v>Small Appliances</v>
      </c>
      <c r="H272" s="2">
        <f t="shared" si="6"/>
        <v>3</v>
      </c>
      <c r="I272" s="2">
        <f t="shared" si="7"/>
        <v>1</v>
      </c>
      <c r="J272" s="2" t="str">
        <f t="array" ref="J272">INDEX(lists!A:A,RANDBETWEEN(1,19))
</f>
        <v>Shutterbugs 4 Charity</v>
      </c>
      <c r="K272" s="2" t="str">
        <f t="array" ref="K272">INDEX(lists!N:N,RANDBETWEEN(1,6))
</f>
        <v>South Portland</v>
      </c>
      <c r="L272" s="2">
        <f t="shared" si="8"/>
        <v>6</v>
      </c>
      <c r="M272" s="2" t="str">
        <f t="array" ref="M272">INDEX(lists!O:O,RANDBETWEEN(1,2))
</f>
        <v>Pickup</v>
      </c>
      <c r="N272" s="2">
        <f t="shared" si="9"/>
        <v>4</v>
      </c>
    </row>
    <row r="273">
      <c r="A273" s="2">
        <f t="shared" si="1"/>
        <v>272</v>
      </c>
      <c r="B273" s="3">
        <f t="shared" si="2"/>
        <v>45464</v>
      </c>
      <c r="C273" s="3">
        <f t="shared" si="3"/>
        <v>45470</v>
      </c>
      <c r="D273" s="3" t="str">
        <f t="shared" si="4"/>
        <v>Completed</v>
      </c>
      <c r="E273" s="2">
        <f t="shared" si="5"/>
        <v>6</v>
      </c>
      <c r="F273" s="2" t="str">
        <f t="array" ref="F273">INDEX(lists!F:F,RANDBETWEEN(1,6))
</f>
        <v>Kitchen</v>
      </c>
      <c r="G273" s="2" t="str">
        <f t="array" ref="G273">IFS(
F273="Bedroom",INDEX(lists!G:G,RANDBETWEEN(1,4)),
F273="Living Room",INDEX(lists!H:H,RANDBETWEEN(1,4)),
F273="Dining",INDEX(lists!I:I,RANDBETWEEN(1,2)),
F273="Kitchen",INDEX(lists!J:J,RANDBETWEEN(1,4)),
F273="Office",INDEX(lists!K:K,RANDBETWEEN(1,3)),
F273="Household Essentials",INDEX(lists!L:L,RANDBETWEEN(1,3))
)
</f>
        <v>Small Appliances</v>
      </c>
      <c r="H273" s="2">
        <f t="shared" si="6"/>
        <v>1</v>
      </c>
      <c r="I273" s="2">
        <f t="shared" si="7"/>
        <v>1</v>
      </c>
      <c r="J273" s="2" t="str">
        <f t="array" ref="J273">INDEX(lists!A:A,RANDBETWEEN(1,19))
</f>
        <v>Diversified</v>
      </c>
      <c r="K273" s="2" t="str">
        <f t="array" ref="K273">INDEX(lists!N:N,RANDBETWEEN(1,6))
</f>
        <v>Westbrook</v>
      </c>
      <c r="L273" s="2">
        <f t="shared" si="8"/>
        <v>2</v>
      </c>
      <c r="M273" s="2" t="str">
        <f t="array" ref="M273">INDEX(lists!O:O,RANDBETWEEN(1,2))
</f>
        <v>Pickup</v>
      </c>
      <c r="N273" s="2">
        <f t="shared" si="9"/>
        <v>5</v>
      </c>
    </row>
    <row r="274">
      <c r="A274" s="2">
        <f t="shared" si="1"/>
        <v>273</v>
      </c>
      <c r="B274" s="3">
        <f t="shared" si="2"/>
        <v>45808</v>
      </c>
      <c r="C274" s="3">
        <f t="shared" si="3"/>
        <v>45822</v>
      </c>
      <c r="D274" s="3" t="str">
        <f t="shared" si="4"/>
        <v>Completed</v>
      </c>
      <c r="E274" s="2">
        <f t="shared" si="5"/>
        <v>14</v>
      </c>
      <c r="F274" s="2" t="str">
        <f t="array" ref="F274">INDEX(lists!F:F,RANDBETWEEN(1,6))
</f>
        <v>Bedroom</v>
      </c>
      <c r="G274" s="2" t="str">
        <f t="array" ref="G274">IFS(
F274="Bedroom",INDEX(lists!G:G,RANDBETWEEN(1,4)),
F274="Living Room",INDEX(lists!H:H,RANDBETWEEN(1,4)),
F274="Dining",INDEX(lists!I:I,RANDBETWEEN(1,2)),
F274="Kitchen",INDEX(lists!J:J,RANDBETWEEN(1,4)),
F274="Office",INDEX(lists!K:K,RANDBETWEEN(1,3)),
F274="Household Essentials",INDEX(lists!L:L,RANDBETWEEN(1,3))
)
</f>
        <v>Nightstand</v>
      </c>
      <c r="H274" s="2">
        <f t="shared" si="6"/>
        <v>1</v>
      </c>
      <c r="I274" s="2">
        <f t="shared" si="7"/>
        <v>1</v>
      </c>
      <c r="J274" s="2" t="str">
        <f t="array" ref="J274">INDEX(lists!A:A,RANDBETWEEN(1,19))
</f>
        <v>Center for Real Estate Studies</v>
      </c>
      <c r="K274" s="2" t="str">
        <f t="array" ref="K274">INDEX(lists!N:N,RANDBETWEEN(1,6))
</f>
        <v>Westbrook</v>
      </c>
      <c r="L274" s="2">
        <f t="shared" si="8"/>
        <v>1</v>
      </c>
      <c r="M274" s="2" t="str">
        <f t="array" ref="M274">INDEX(lists!O:O,RANDBETWEEN(1,2))
</f>
        <v>Pickup</v>
      </c>
      <c r="N274" s="2">
        <f t="shared" si="9"/>
        <v>3</v>
      </c>
    </row>
    <row r="275">
      <c r="A275" s="2">
        <f t="shared" si="1"/>
        <v>274</v>
      </c>
      <c r="B275" s="3">
        <f t="shared" si="2"/>
        <v>45736</v>
      </c>
      <c r="C275" s="3">
        <f t="shared" si="3"/>
        <v>45777</v>
      </c>
      <c r="D275" s="3" t="str">
        <f t="shared" si="4"/>
        <v>Completed</v>
      </c>
      <c r="E275" s="2">
        <f t="shared" si="5"/>
        <v>41</v>
      </c>
      <c r="F275" s="2" t="str">
        <f t="array" ref="F275">INDEX(lists!F:F,RANDBETWEEN(1,6))
</f>
        <v>Dining</v>
      </c>
      <c r="G275" s="2" t="str">
        <f t="array" ref="G275">IFS(
F275="Bedroom",INDEX(lists!G:G,RANDBETWEEN(1,4)),
F275="Living Room",INDEX(lists!H:H,RANDBETWEEN(1,4)),
F275="Dining",INDEX(lists!I:I,RANDBETWEEN(1,2)),
F275="Kitchen",INDEX(lists!J:J,RANDBETWEEN(1,4)),
F275="Office",INDEX(lists!K:K,RANDBETWEEN(1,3)),
F275="Household Essentials",INDEX(lists!L:L,RANDBETWEEN(1,3))
)
</f>
        <v>Dining Table</v>
      </c>
      <c r="H275" s="2">
        <f t="shared" si="6"/>
        <v>3</v>
      </c>
      <c r="I275" s="2">
        <f t="shared" si="7"/>
        <v>3</v>
      </c>
      <c r="J275" s="2" t="str">
        <f t="array" ref="J275">INDEX(lists!A:A,RANDBETWEEN(1,19))
</f>
        <v>Shutterbugs 4 Charity</v>
      </c>
      <c r="K275" s="2" t="str">
        <f t="array" ref="K275">INDEX(lists!N:N,RANDBETWEEN(1,6))
</f>
        <v>South Portland</v>
      </c>
      <c r="L275" s="2">
        <f t="shared" si="8"/>
        <v>3</v>
      </c>
      <c r="M275" s="2" t="str">
        <f t="array" ref="M275">INDEX(lists!O:O,RANDBETWEEN(1,2))
</f>
        <v>Delivery</v>
      </c>
      <c r="N275" s="2">
        <f t="shared" si="9"/>
        <v>1</v>
      </c>
    </row>
    <row r="276">
      <c r="A276" s="2">
        <f t="shared" si="1"/>
        <v>275</v>
      </c>
      <c r="B276" s="3">
        <f t="shared" si="2"/>
        <v>45415</v>
      </c>
      <c r="C276" s="3">
        <f t="shared" si="3"/>
        <v>45419</v>
      </c>
      <c r="D276" s="3" t="str">
        <f t="shared" si="4"/>
        <v>Completed</v>
      </c>
      <c r="E276" s="2">
        <f t="shared" si="5"/>
        <v>4</v>
      </c>
      <c r="F276" s="2" t="str">
        <f t="array" ref="F276">INDEX(lists!F:F,RANDBETWEEN(1,6))
</f>
        <v>Dining</v>
      </c>
      <c r="G276" s="2" t="str">
        <f t="array" ref="G276">IFS(
F276="Bedroom",INDEX(lists!G:G,RANDBETWEEN(1,4)),
F276="Living Room",INDEX(lists!H:H,RANDBETWEEN(1,4)),
F276="Dining",INDEX(lists!I:I,RANDBETWEEN(1,2)),
F276="Kitchen",INDEX(lists!J:J,RANDBETWEEN(1,4)),
F276="Office",INDEX(lists!K:K,RANDBETWEEN(1,3)),
F276="Household Essentials",INDEX(lists!L:L,RANDBETWEEN(1,3))
)
</f>
        <v>Dining Table</v>
      </c>
      <c r="H276" s="2">
        <f t="shared" si="6"/>
        <v>3</v>
      </c>
      <c r="I276" s="2">
        <f t="shared" si="7"/>
        <v>2</v>
      </c>
      <c r="J276" s="2" t="str">
        <f t="array" ref="J276">INDEX(lists!A:A,RANDBETWEEN(1,19))
</f>
        <v>Rowe Ford Westbrook</v>
      </c>
      <c r="K276" s="2" t="str">
        <f t="array" ref="K276">INDEX(lists!N:N,RANDBETWEEN(1,6))
</f>
        <v>Portland</v>
      </c>
      <c r="L276" s="2">
        <f t="shared" si="8"/>
        <v>1</v>
      </c>
      <c r="M276" s="2" t="str">
        <f t="array" ref="M276">INDEX(lists!O:O,RANDBETWEEN(1,2))
</f>
        <v>Pickup</v>
      </c>
      <c r="N276" s="2">
        <f t="shared" si="9"/>
        <v>4</v>
      </c>
    </row>
    <row r="277">
      <c r="A277" s="2">
        <f t="shared" si="1"/>
        <v>276</v>
      </c>
      <c r="B277" s="3">
        <f t="shared" si="2"/>
        <v>45556</v>
      </c>
      <c r="C277" s="3" t="str">
        <f t="shared" si="3"/>
        <v/>
      </c>
      <c r="D277" s="3" t="str">
        <f t="shared" si="4"/>
        <v>Pending</v>
      </c>
      <c r="E277" s="2" t="str">
        <f t="shared" si="5"/>
        <v/>
      </c>
      <c r="F277" s="2" t="str">
        <f t="array" ref="F277">INDEX(lists!F:F,RANDBETWEEN(1,6))
</f>
        <v>Household Essentials</v>
      </c>
      <c r="G277" s="2" t="str">
        <f t="array" ref="G277">IFS(
F277="Bedroom",INDEX(lists!G:G,RANDBETWEEN(1,4)),
F277="Living Room",INDEX(lists!H:H,RANDBETWEEN(1,4)),
F277="Dining",INDEX(lists!I:I,RANDBETWEEN(1,2)),
F277="Kitchen",INDEX(lists!J:J,RANDBETWEEN(1,4)),
F277="Office",INDEX(lists!K:K,RANDBETWEEN(1,3)),
F277="Household Essentials",INDEX(lists!L:L,RANDBETWEEN(1,3))
)
</f>
        <v>Rugs</v>
      </c>
      <c r="H277" s="2">
        <f t="shared" si="6"/>
        <v>2</v>
      </c>
      <c r="I277" s="2" t="str">
        <f t="shared" si="7"/>
        <v/>
      </c>
      <c r="J277" s="2" t="str">
        <f t="array" ref="J277">INDEX(lists!A:A,RANDBETWEEN(1,19))
</f>
        <v>Jordan's Furniture</v>
      </c>
      <c r="K277" s="2" t="str">
        <f t="array" ref="K277">INDEX(lists!N:N,RANDBETWEEN(1,6))
</f>
        <v>Falmouth</v>
      </c>
      <c r="L277" s="2">
        <f t="shared" si="8"/>
        <v>4</v>
      </c>
      <c r="M277" s="2" t="str">
        <f t="array" ref="M277">INDEX(lists!O:O,RANDBETWEEN(1,2))
</f>
        <v>Delivery</v>
      </c>
      <c r="N277" s="2">
        <f t="shared" si="9"/>
        <v>1</v>
      </c>
    </row>
    <row r="278">
      <c r="A278" s="2">
        <f t="shared" si="1"/>
        <v>277</v>
      </c>
      <c r="B278" s="3">
        <f t="shared" si="2"/>
        <v>45773</v>
      </c>
      <c r="C278" s="3">
        <f t="shared" si="3"/>
        <v>45787</v>
      </c>
      <c r="D278" s="3" t="str">
        <f t="shared" si="4"/>
        <v>Completed</v>
      </c>
      <c r="E278" s="2">
        <f t="shared" si="5"/>
        <v>14</v>
      </c>
      <c r="F278" s="2" t="str">
        <f t="array" ref="F278">INDEX(lists!F:F,RANDBETWEEN(1,6))
</f>
        <v>Kitchen</v>
      </c>
      <c r="G278" s="2" t="str">
        <f t="array" ref="G278">IFS(
F278="Bedroom",INDEX(lists!G:G,RANDBETWEEN(1,4)),
F278="Living Room",INDEX(lists!H:H,RANDBETWEEN(1,4)),
F278="Dining",INDEX(lists!I:I,RANDBETWEEN(1,2)),
F278="Kitchen",INDEX(lists!J:J,RANDBETWEEN(1,4)),
F278="Office",INDEX(lists!K:K,RANDBETWEEN(1,3)),
F278="Household Essentials",INDEX(lists!L:L,RANDBETWEEN(1,3))
)
</f>
        <v>Dishes</v>
      </c>
      <c r="H278" s="2">
        <f t="shared" si="6"/>
        <v>1</v>
      </c>
      <c r="I278" s="2">
        <f t="shared" si="7"/>
        <v>1</v>
      </c>
      <c r="J278" s="2" t="str">
        <f t="array" ref="J278">INDEX(lists!A:A,RANDBETWEEN(1,19))
</f>
        <v>Systems Engineering</v>
      </c>
      <c r="K278" s="2" t="str">
        <f t="array" ref="K278">INDEX(lists!N:N,RANDBETWEEN(1,6))
</f>
        <v>Falmouth</v>
      </c>
      <c r="L278" s="2">
        <f t="shared" si="8"/>
        <v>5</v>
      </c>
      <c r="M278" s="2" t="str">
        <f t="array" ref="M278">INDEX(lists!O:O,RANDBETWEEN(1,2))
</f>
        <v>Delivery</v>
      </c>
      <c r="N278" s="2">
        <f t="shared" si="9"/>
        <v>6</v>
      </c>
    </row>
    <row r="279">
      <c r="A279" s="2">
        <f t="shared" si="1"/>
        <v>278</v>
      </c>
      <c r="B279" s="3">
        <f t="shared" si="2"/>
        <v>45807</v>
      </c>
      <c r="C279" s="3">
        <f t="shared" si="3"/>
        <v>45851</v>
      </c>
      <c r="D279" s="3" t="str">
        <f t="shared" si="4"/>
        <v>Completed</v>
      </c>
      <c r="E279" s="2">
        <f t="shared" si="5"/>
        <v>44</v>
      </c>
      <c r="F279" s="2" t="str">
        <f t="array" ref="F279">INDEX(lists!F:F,RANDBETWEEN(1,6))
</f>
        <v>Household Essentials</v>
      </c>
      <c r="G279" s="2" t="str">
        <f t="array" ref="G279">IFS(
F279="Bedroom",INDEX(lists!G:G,RANDBETWEEN(1,4)),
F279="Living Room",INDEX(lists!H:H,RANDBETWEEN(1,4)),
F279="Dining",INDEX(lists!I:I,RANDBETWEEN(1,2)),
F279="Kitchen",INDEX(lists!J:J,RANDBETWEEN(1,4)),
F279="Office",INDEX(lists!K:K,RANDBETWEEN(1,3)),
F279="Household Essentials",INDEX(lists!L:L,RANDBETWEEN(1,3))
)
</f>
        <v>Bedding</v>
      </c>
      <c r="H279" s="2">
        <f t="shared" si="6"/>
        <v>2</v>
      </c>
      <c r="I279" s="2">
        <f t="shared" si="7"/>
        <v>1</v>
      </c>
      <c r="J279" s="2" t="str">
        <f t="array" ref="J279">INDEX(lists!A:A,RANDBETWEEN(1,19))
</f>
        <v>Spiritual Workers</v>
      </c>
      <c r="K279" s="2" t="str">
        <f t="array" ref="K279">INDEX(lists!N:N,RANDBETWEEN(1,6))
</f>
        <v>South Portland</v>
      </c>
      <c r="L279" s="2">
        <f t="shared" si="8"/>
        <v>4</v>
      </c>
      <c r="M279" s="2" t="str">
        <f t="array" ref="M279">INDEX(lists!O:O,RANDBETWEEN(1,2))
</f>
        <v>Delivery</v>
      </c>
      <c r="N279" s="2">
        <f t="shared" si="9"/>
        <v>6</v>
      </c>
    </row>
    <row r="280">
      <c r="A280" s="2">
        <f t="shared" si="1"/>
        <v>279</v>
      </c>
      <c r="B280" s="3">
        <f t="shared" si="2"/>
        <v>45338</v>
      </c>
      <c r="C280" s="3">
        <f t="shared" si="3"/>
        <v>45369</v>
      </c>
      <c r="D280" s="3" t="str">
        <f t="shared" si="4"/>
        <v>Completed</v>
      </c>
      <c r="E280" s="2">
        <f t="shared" si="5"/>
        <v>31</v>
      </c>
      <c r="F280" s="2" t="str">
        <f t="array" ref="F280">INDEX(lists!F:F,RANDBETWEEN(1,6))
</f>
        <v>Kitchen</v>
      </c>
      <c r="G280" s="2" t="str">
        <f t="array" ref="G280">IFS(
F280="Bedroom",INDEX(lists!G:G,RANDBETWEEN(1,4)),
F280="Living Room",INDEX(lists!H:H,RANDBETWEEN(1,4)),
F280="Dining",INDEX(lists!I:I,RANDBETWEEN(1,2)),
F280="Kitchen",INDEX(lists!J:J,RANDBETWEEN(1,4)),
F280="Office",INDEX(lists!K:K,RANDBETWEEN(1,3)),
F280="Household Essentials",INDEX(lists!L:L,RANDBETWEEN(1,3))
)
</f>
        <v>Microwave</v>
      </c>
      <c r="H280" s="2">
        <f t="shared" si="6"/>
        <v>2</v>
      </c>
      <c r="I280" s="2">
        <f t="shared" si="7"/>
        <v>2</v>
      </c>
      <c r="J280" s="2" t="str">
        <f t="array" ref="J280">INDEX(lists!A:A,RANDBETWEEN(1,19))
</f>
        <v>Systems Engineering</v>
      </c>
      <c r="K280" s="2" t="str">
        <f t="array" ref="K280">INDEX(lists!N:N,RANDBETWEEN(1,6))
</f>
        <v>Biddeford</v>
      </c>
      <c r="L280" s="2">
        <f t="shared" si="8"/>
        <v>2</v>
      </c>
      <c r="M280" s="2" t="str">
        <f t="array" ref="M280">INDEX(lists!O:O,RANDBETWEEN(1,2))
</f>
        <v>Pickup</v>
      </c>
      <c r="N280" s="2">
        <f t="shared" si="9"/>
        <v>5</v>
      </c>
    </row>
    <row r="281">
      <c r="A281" s="2">
        <f t="shared" si="1"/>
        <v>280</v>
      </c>
      <c r="B281" s="3">
        <f t="shared" si="2"/>
        <v>45818</v>
      </c>
      <c r="C281" s="3">
        <f t="shared" si="3"/>
        <v>45820</v>
      </c>
      <c r="D281" s="3" t="str">
        <f t="shared" si="4"/>
        <v>Completed</v>
      </c>
      <c r="E281" s="2">
        <f t="shared" si="5"/>
        <v>2</v>
      </c>
      <c r="F281" s="2" t="str">
        <f t="array" ref="F281">INDEX(lists!F:F,RANDBETWEEN(1,6))
</f>
        <v>Office</v>
      </c>
      <c r="G281" s="2" t="str">
        <f t="array" ref="G281">IFS(
F281="Bedroom",INDEX(lists!G:G,RANDBETWEEN(1,4)),
F281="Living Room",INDEX(lists!H:H,RANDBETWEEN(1,4)),
F281="Dining",INDEX(lists!I:I,RANDBETWEEN(1,2)),
F281="Kitchen",INDEX(lists!J:J,RANDBETWEEN(1,4)),
F281="Office",INDEX(lists!K:K,RANDBETWEEN(1,3)),
F281="Household Essentials",INDEX(lists!L:L,RANDBETWEEN(1,3))
)
</f>
        <v>Office Chair</v>
      </c>
      <c r="H281" s="2">
        <f t="shared" si="6"/>
        <v>4</v>
      </c>
      <c r="I281" s="2">
        <f t="shared" si="7"/>
        <v>3</v>
      </c>
      <c r="J281" s="2" t="str">
        <f t="array" ref="J281">INDEX(lists!A:A,RANDBETWEEN(1,19))
</f>
        <v>J.B Brown and Sons</v>
      </c>
      <c r="K281" s="2" t="str">
        <f t="array" ref="K281">INDEX(lists!N:N,RANDBETWEEN(1,6))
</f>
        <v>Falmouth</v>
      </c>
      <c r="L281" s="2">
        <f t="shared" si="8"/>
        <v>5</v>
      </c>
      <c r="M281" s="2" t="str">
        <f t="array" ref="M281">INDEX(lists!O:O,RANDBETWEEN(1,2))
</f>
        <v>Delivery</v>
      </c>
      <c r="N281" s="2">
        <f t="shared" si="9"/>
        <v>1</v>
      </c>
    </row>
    <row r="282">
      <c r="A282" s="2">
        <f t="shared" si="1"/>
        <v>281</v>
      </c>
      <c r="B282" s="3">
        <f t="shared" si="2"/>
        <v>45776</v>
      </c>
      <c r="C282" s="3">
        <f t="shared" si="3"/>
        <v>45786</v>
      </c>
      <c r="D282" s="3" t="str">
        <f t="shared" si="4"/>
        <v>Completed</v>
      </c>
      <c r="E282" s="2">
        <f t="shared" si="5"/>
        <v>10</v>
      </c>
      <c r="F282" s="2" t="str">
        <f t="array" ref="F282">INDEX(lists!F:F,RANDBETWEEN(1,6))
</f>
        <v>Dining</v>
      </c>
      <c r="G282" s="2" t="str">
        <f t="array" ref="G282">IFS(
F282="Bedroom",INDEX(lists!G:G,RANDBETWEEN(1,4)),
F282="Living Room",INDEX(lists!H:H,RANDBETWEEN(1,4)),
F282="Dining",INDEX(lists!I:I,RANDBETWEEN(1,2)),
F282="Kitchen",INDEX(lists!J:J,RANDBETWEEN(1,4)),
F282="Office",INDEX(lists!K:K,RANDBETWEEN(1,3)),
F282="Household Essentials",INDEX(lists!L:L,RANDBETWEEN(1,3))
)
</f>
        <v>Dining Chair</v>
      </c>
      <c r="H282" s="2">
        <f t="shared" si="6"/>
        <v>2</v>
      </c>
      <c r="I282" s="2">
        <f t="shared" si="7"/>
        <v>2</v>
      </c>
      <c r="J282" s="2" t="str">
        <f t="array" ref="J282">INDEX(lists!A:A,RANDBETWEEN(1,19))
</f>
        <v>Systems Engineering</v>
      </c>
      <c r="K282" s="2" t="str">
        <f t="array" ref="K282">INDEX(lists!N:N,RANDBETWEEN(1,6))
</f>
        <v>Falmouth</v>
      </c>
      <c r="L282" s="2">
        <f t="shared" si="8"/>
        <v>6</v>
      </c>
      <c r="M282" s="2" t="str">
        <f t="array" ref="M282">INDEX(lists!O:O,RANDBETWEEN(1,2))
</f>
        <v>Delivery</v>
      </c>
      <c r="N282" s="2">
        <f t="shared" si="9"/>
        <v>5</v>
      </c>
    </row>
    <row r="283">
      <c r="A283" s="2">
        <f t="shared" si="1"/>
        <v>282</v>
      </c>
      <c r="B283" s="3">
        <f t="shared" si="2"/>
        <v>45808</v>
      </c>
      <c r="C283" s="3">
        <f t="shared" si="3"/>
        <v>45810</v>
      </c>
      <c r="D283" s="3" t="str">
        <f t="shared" si="4"/>
        <v>Completed</v>
      </c>
      <c r="E283" s="2">
        <f t="shared" si="5"/>
        <v>2</v>
      </c>
      <c r="F283" s="2" t="str">
        <f t="array" ref="F283">INDEX(lists!F:F,RANDBETWEEN(1,6))
</f>
        <v>Office</v>
      </c>
      <c r="G283" s="2" t="str">
        <f t="array" ref="G283">IFS(
F283="Bedroom",INDEX(lists!G:G,RANDBETWEEN(1,4)),
F283="Living Room",INDEX(lists!H:H,RANDBETWEEN(1,4)),
F283="Dining",INDEX(lists!I:I,RANDBETWEEN(1,2)),
F283="Kitchen",INDEX(lists!J:J,RANDBETWEEN(1,4)),
F283="Office",INDEX(lists!K:K,RANDBETWEEN(1,3)),
F283="Household Essentials",INDEX(lists!L:L,RANDBETWEEN(1,3))
)
</f>
        <v>Desk</v>
      </c>
      <c r="H283" s="2">
        <f t="shared" si="6"/>
        <v>1</v>
      </c>
      <c r="I283" s="2">
        <f t="shared" si="7"/>
        <v>1</v>
      </c>
      <c r="J283" s="2" t="str">
        <f t="array" ref="J283">INDEX(lists!A:A,RANDBETWEEN(1,19))
</f>
        <v>J.B Brown and Sons</v>
      </c>
      <c r="K283" s="2" t="str">
        <f t="array" ref="K283">INDEX(lists!N:N,RANDBETWEEN(1,6))
</f>
        <v>Scarborough</v>
      </c>
      <c r="L283" s="2">
        <f t="shared" si="8"/>
        <v>3</v>
      </c>
      <c r="M283" s="2" t="str">
        <f t="array" ref="M283">INDEX(lists!O:O,RANDBETWEEN(1,2))
</f>
        <v>Pickup</v>
      </c>
      <c r="N283" s="2">
        <f t="shared" si="9"/>
        <v>5</v>
      </c>
    </row>
    <row r="284">
      <c r="A284" s="2">
        <f t="shared" si="1"/>
        <v>283</v>
      </c>
      <c r="B284" s="3">
        <f t="shared" si="2"/>
        <v>45332</v>
      </c>
      <c r="C284" s="3">
        <f t="shared" si="3"/>
        <v>45340</v>
      </c>
      <c r="D284" s="3" t="str">
        <f t="shared" si="4"/>
        <v>Completed</v>
      </c>
      <c r="E284" s="2">
        <f t="shared" si="5"/>
        <v>8</v>
      </c>
      <c r="F284" s="2" t="str">
        <f t="array" ref="F284">INDEX(lists!F:F,RANDBETWEEN(1,6))
</f>
        <v>Household Essentials</v>
      </c>
      <c r="G284" s="2" t="str">
        <f t="array" ref="G284">IFS(
F284="Bedroom",INDEX(lists!G:G,RANDBETWEEN(1,4)),
F284="Living Room",INDEX(lists!H:H,RANDBETWEEN(1,4)),
F284="Dining",INDEX(lists!I:I,RANDBETWEEN(1,2)),
F284="Kitchen",INDEX(lists!J:J,RANDBETWEEN(1,4)),
F284="Office",INDEX(lists!K:K,RANDBETWEEN(1,3)),
F284="Household Essentials",INDEX(lists!L:L,RANDBETWEEN(1,3))
)
</f>
        <v>Bedding</v>
      </c>
      <c r="H284" s="2">
        <f t="shared" si="6"/>
        <v>1</v>
      </c>
      <c r="I284" s="2">
        <f t="shared" si="7"/>
        <v>1</v>
      </c>
      <c r="J284" s="2" t="str">
        <f t="array" ref="J284">INDEX(lists!A:A,RANDBETWEEN(1,19))
</f>
        <v>Saco &amp; Biddeford Savings</v>
      </c>
      <c r="K284" s="2" t="str">
        <f t="array" ref="K284">INDEX(lists!N:N,RANDBETWEEN(1,6))
</f>
        <v>Scarborough</v>
      </c>
      <c r="L284" s="2">
        <f t="shared" si="8"/>
        <v>4</v>
      </c>
      <c r="M284" s="2" t="str">
        <f t="array" ref="M284">INDEX(lists!O:O,RANDBETWEEN(1,2))
</f>
        <v>Delivery</v>
      </c>
      <c r="N284" s="2">
        <f t="shared" si="9"/>
        <v>5</v>
      </c>
    </row>
    <row r="285">
      <c r="A285" s="2">
        <f t="shared" si="1"/>
        <v>284</v>
      </c>
      <c r="B285" s="3">
        <f t="shared" si="2"/>
        <v>45731</v>
      </c>
      <c r="C285" s="3" t="str">
        <f t="shared" si="3"/>
        <v/>
      </c>
      <c r="D285" s="3" t="str">
        <f t="shared" si="4"/>
        <v>Pending</v>
      </c>
      <c r="E285" s="2" t="str">
        <f t="shared" si="5"/>
        <v/>
      </c>
      <c r="F285" s="2" t="str">
        <f t="array" ref="F285">INDEX(lists!F:F,RANDBETWEEN(1,6))
</f>
        <v>Living Room</v>
      </c>
      <c r="G285" s="2" t="str">
        <f t="array" ref="G285">IFS(
F285="Bedroom",INDEX(lists!G:G,RANDBETWEEN(1,4)),
F285="Living Room",INDEX(lists!H:H,RANDBETWEEN(1,4)),
F285="Dining",INDEX(lists!I:I,RANDBETWEEN(1,2)),
F285="Kitchen",INDEX(lists!J:J,RANDBETWEEN(1,4)),
F285="Office",INDEX(lists!K:K,RANDBETWEEN(1,3)),
F285="Household Essentials",INDEX(lists!L:L,RANDBETWEEN(1,3))
)
</f>
        <v>Armchair</v>
      </c>
      <c r="H285" s="2">
        <f t="shared" si="6"/>
        <v>4</v>
      </c>
      <c r="I285" s="2" t="str">
        <f t="shared" si="7"/>
        <v/>
      </c>
      <c r="J285" s="2" t="str">
        <f t="array" ref="J285">INDEX(lists!A:A,RANDBETWEEN(1,19))
</f>
        <v>Westbrook Housing</v>
      </c>
      <c r="K285" s="2" t="str">
        <f t="array" ref="K285">INDEX(lists!N:N,RANDBETWEEN(1,6))
</f>
        <v>Westbrook</v>
      </c>
      <c r="L285" s="2">
        <f t="shared" si="8"/>
        <v>1</v>
      </c>
      <c r="M285" s="2" t="str">
        <f t="array" ref="M285">INDEX(lists!O:O,RANDBETWEEN(1,2))
</f>
        <v>Pickup</v>
      </c>
      <c r="N285" s="2">
        <f t="shared" si="9"/>
        <v>4</v>
      </c>
    </row>
    <row r="286">
      <c r="A286" s="2">
        <f t="shared" si="1"/>
        <v>285</v>
      </c>
      <c r="B286" s="3">
        <f t="shared" si="2"/>
        <v>45369</v>
      </c>
      <c r="C286" s="3">
        <f t="shared" si="3"/>
        <v>45376</v>
      </c>
      <c r="D286" s="3" t="str">
        <f t="shared" si="4"/>
        <v>Completed</v>
      </c>
      <c r="E286" s="2">
        <f t="shared" si="5"/>
        <v>7</v>
      </c>
      <c r="F286" s="2" t="str">
        <f t="array" ref="F286">INDEX(lists!F:F,RANDBETWEEN(1,6))
</f>
        <v>Bedroom</v>
      </c>
      <c r="G286" s="2" t="str">
        <f t="array" ref="G286">IFS(
F286="Bedroom",INDEX(lists!G:G,RANDBETWEEN(1,4)),
F286="Living Room",INDEX(lists!H:H,RANDBETWEEN(1,4)),
F286="Dining",INDEX(lists!I:I,RANDBETWEEN(1,2)),
F286="Kitchen",INDEX(lists!J:J,RANDBETWEEN(1,4)),
F286="Office",INDEX(lists!K:K,RANDBETWEEN(1,3)),
F286="Household Essentials",INDEX(lists!L:L,RANDBETWEEN(1,3))
)
</f>
        <v>Nightstand</v>
      </c>
      <c r="H286" s="2">
        <f t="shared" si="6"/>
        <v>1</v>
      </c>
      <c r="I286" s="2">
        <f t="shared" si="7"/>
        <v>1</v>
      </c>
      <c r="J286" s="2" t="str">
        <f t="array" ref="J286">INDEX(lists!A:A,RANDBETWEEN(1,19))
</f>
        <v>Rowe Ford Westbrook</v>
      </c>
      <c r="K286" s="2" t="str">
        <f t="array" ref="K286">INDEX(lists!N:N,RANDBETWEEN(1,6))
</f>
        <v>Biddeford</v>
      </c>
      <c r="L286" s="2">
        <f t="shared" si="8"/>
        <v>6</v>
      </c>
      <c r="M286" s="2" t="str">
        <f t="array" ref="M286">INDEX(lists!O:O,RANDBETWEEN(1,2))
</f>
        <v>Delivery</v>
      </c>
      <c r="N286" s="2">
        <f t="shared" si="9"/>
        <v>5</v>
      </c>
    </row>
    <row r="287">
      <c r="A287" s="2">
        <f t="shared" si="1"/>
        <v>286</v>
      </c>
      <c r="B287" s="3">
        <f t="shared" si="2"/>
        <v>45734</v>
      </c>
      <c r="C287" s="3">
        <f t="shared" si="3"/>
        <v>45743</v>
      </c>
      <c r="D287" s="3" t="str">
        <f t="shared" si="4"/>
        <v>Completed</v>
      </c>
      <c r="E287" s="2">
        <f t="shared" si="5"/>
        <v>9</v>
      </c>
      <c r="F287" s="2" t="str">
        <f t="array" ref="F287">INDEX(lists!F:F,RANDBETWEEN(1,6))
</f>
        <v>Kitchen</v>
      </c>
      <c r="G287" s="2" t="str">
        <f t="array" ref="G287">IFS(
F287="Bedroom",INDEX(lists!G:G,RANDBETWEEN(1,4)),
F287="Living Room",INDEX(lists!H:H,RANDBETWEEN(1,4)),
F287="Dining",INDEX(lists!I:I,RANDBETWEEN(1,2)),
F287="Kitchen",INDEX(lists!J:J,RANDBETWEEN(1,4)),
F287="Office",INDEX(lists!K:K,RANDBETWEEN(1,3)),
F287="Household Essentials",INDEX(lists!L:L,RANDBETWEEN(1,3))
)
</f>
        <v>Dishes</v>
      </c>
      <c r="H287" s="2">
        <f t="shared" si="6"/>
        <v>1</v>
      </c>
      <c r="I287" s="2">
        <f t="shared" si="7"/>
        <v>1</v>
      </c>
      <c r="J287" s="2" t="str">
        <f t="array" ref="J287">INDEX(lists!A:A,RANDBETWEEN(1,19))
</f>
        <v>GoGo Refill</v>
      </c>
      <c r="K287" s="2" t="str">
        <f t="array" ref="K287">INDEX(lists!N:N,RANDBETWEEN(1,6))
</f>
        <v>Scarborough</v>
      </c>
      <c r="L287" s="2">
        <f t="shared" si="8"/>
        <v>1</v>
      </c>
      <c r="M287" s="2" t="str">
        <f t="array" ref="M287">INDEX(lists!O:O,RANDBETWEEN(1,2))
</f>
        <v>Pickup</v>
      </c>
      <c r="N287" s="2">
        <f t="shared" si="9"/>
        <v>3</v>
      </c>
    </row>
    <row r="288">
      <c r="A288" s="2">
        <f t="shared" si="1"/>
        <v>287</v>
      </c>
      <c r="B288" s="3">
        <f t="shared" si="2"/>
        <v>45630</v>
      </c>
      <c r="C288" s="3">
        <f t="shared" si="3"/>
        <v>45645</v>
      </c>
      <c r="D288" s="3" t="str">
        <f t="shared" si="4"/>
        <v>Completed</v>
      </c>
      <c r="E288" s="2">
        <f t="shared" si="5"/>
        <v>15</v>
      </c>
      <c r="F288" s="2" t="str">
        <f t="array" ref="F288">INDEX(lists!F:F,RANDBETWEEN(1,6))
</f>
        <v>Dining</v>
      </c>
      <c r="G288" s="2" t="str">
        <f t="array" ref="G288">IFS(
F288="Bedroom",INDEX(lists!G:G,RANDBETWEEN(1,4)),
F288="Living Room",INDEX(lists!H:H,RANDBETWEEN(1,4)),
F288="Dining",INDEX(lists!I:I,RANDBETWEEN(1,2)),
F288="Kitchen",INDEX(lists!J:J,RANDBETWEEN(1,4)),
F288="Office",INDEX(lists!K:K,RANDBETWEEN(1,3)),
F288="Household Essentials",INDEX(lists!L:L,RANDBETWEEN(1,3))
)
</f>
        <v>Dining Chair</v>
      </c>
      <c r="H288" s="2">
        <f t="shared" si="6"/>
        <v>1</v>
      </c>
      <c r="I288" s="2">
        <f t="shared" si="7"/>
        <v>1</v>
      </c>
      <c r="J288" s="2" t="str">
        <f t="array" ref="J288">INDEX(lists!A:A,RANDBETWEEN(1,19))
</f>
        <v>Shutterbugs 4 Charity</v>
      </c>
      <c r="K288" s="2" t="str">
        <f t="array" ref="K288">INDEX(lists!N:N,RANDBETWEEN(1,6))
</f>
        <v>Westbrook</v>
      </c>
      <c r="L288" s="2">
        <f t="shared" si="8"/>
        <v>1</v>
      </c>
      <c r="M288" s="2" t="str">
        <f t="array" ref="M288">INDEX(lists!O:O,RANDBETWEEN(1,2))
</f>
        <v>Delivery</v>
      </c>
      <c r="N288" s="2">
        <f t="shared" si="9"/>
        <v>6</v>
      </c>
    </row>
    <row r="289">
      <c r="A289" s="2">
        <f t="shared" si="1"/>
        <v>288</v>
      </c>
      <c r="B289" s="3">
        <f t="shared" si="2"/>
        <v>45530</v>
      </c>
      <c r="C289" s="3">
        <f t="shared" si="3"/>
        <v>45544</v>
      </c>
      <c r="D289" s="3" t="str">
        <f t="shared" si="4"/>
        <v>Completed</v>
      </c>
      <c r="E289" s="2">
        <f t="shared" si="5"/>
        <v>14</v>
      </c>
      <c r="F289" s="2" t="str">
        <f t="array" ref="F289">INDEX(lists!F:F,RANDBETWEEN(1,6))
</f>
        <v>Kitchen</v>
      </c>
      <c r="G289" s="2" t="str">
        <f t="array" ref="G289">IFS(
F289="Bedroom",INDEX(lists!G:G,RANDBETWEEN(1,4)),
F289="Living Room",INDEX(lists!H:H,RANDBETWEEN(1,4)),
F289="Dining",INDEX(lists!I:I,RANDBETWEEN(1,2)),
F289="Kitchen",INDEX(lists!J:J,RANDBETWEEN(1,4)),
F289="Office",INDEX(lists!K:K,RANDBETWEEN(1,3)),
F289="Household Essentials",INDEX(lists!L:L,RANDBETWEEN(1,3))
)
</f>
        <v>Microwave</v>
      </c>
      <c r="H289" s="2">
        <f t="shared" si="6"/>
        <v>2</v>
      </c>
      <c r="I289" s="2">
        <f t="shared" si="7"/>
        <v>1</v>
      </c>
      <c r="J289" s="2" t="str">
        <f t="array" ref="J289">INDEX(lists!A:A,RANDBETWEEN(1,19))
</f>
        <v>Shutterbugs 4 Charity</v>
      </c>
      <c r="K289" s="2" t="str">
        <f t="array" ref="K289">INDEX(lists!N:N,RANDBETWEEN(1,6))
</f>
        <v>Biddeford</v>
      </c>
      <c r="L289" s="2">
        <f t="shared" si="8"/>
        <v>2</v>
      </c>
      <c r="M289" s="2" t="str">
        <f t="array" ref="M289">INDEX(lists!O:O,RANDBETWEEN(1,2))
</f>
        <v>Pickup</v>
      </c>
      <c r="N289" s="2">
        <f t="shared" si="9"/>
        <v>2</v>
      </c>
    </row>
    <row r="290">
      <c r="A290" s="2">
        <f t="shared" si="1"/>
        <v>289</v>
      </c>
      <c r="B290" s="3">
        <f t="shared" si="2"/>
        <v>45727</v>
      </c>
      <c r="C290" s="3">
        <f t="shared" si="3"/>
        <v>45730</v>
      </c>
      <c r="D290" s="3" t="str">
        <f t="shared" si="4"/>
        <v>Completed</v>
      </c>
      <c r="E290" s="2">
        <f t="shared" si="5"/>
        <v>3</v>
      </c>
      <c r="F290" s="2" t="str">
        <f t="array" ref="F290">INDEX(lists!F:F,RANDBETWEEN(1,6))
</f>
        <v>Dining</v>
      </c>
      <c r="G290" s="2" t="str">
        <f t="array" ref="G290">IFS(
F290="Bedroom",INDEX(lists!G:G,RANDBETWEEN(1,4)),
F290="Living Room",INDEX(lists!H:H,RANDBETWEEN(1,4)),
F290="Dining",INDEX(lists!I:I,RANDBETWEEN(1,2)),
F290="Kitchen",INDEX(lists!J:J,RANDBETWEEN(1,4)),
F290="Office",INDEX(lists!K:K,RANDBETWEEN(1,3)),
F290="Household Essentials",INDEX(lists!L:L,RANDBETWEEN(1,3))
)
</f>
        <v>Dining Table</v>
      </c>
      <c r="H290" s="2">
        <f t="shared" si="6"/>
        <v>4</v>
      </c>
      <c r="I290" s="2">
        <f t="shared" si="7"/>
        <v>3</v>
      </c>
      <c r="J290" s="2" t="str">
        <f t="array" ref="J290">INDEX(lists!A:A,RANDBETWEEN(1,19))
</f>
        <v>Portland Harbor Group Raymond James</v>
      </c>
      <c r="K290" s="2" t="str">
        <f t="array" ref="K290">INDEX(lists!N:N,RANDBETWEEN(1,6))
</f>
        <v>South Portland</v>
      </c>
      <c r="L290" s="2">
        <f t="shared" si="8"/>
        <v>2</v>
      </c>
      <c r="M290" s="2" t="str">
        <f t="array" ref="M290">INDEX(lists!O:O,RANDBETWEEN(1,2))
</f>
        <v>Delivery</v>
      </c>
      <c r="N290" s="2">
        <f t="shared" si="9"/>
        <v>1</v>
      </c>
    </row>
    <row r="291">
      <c r="A291" s="2">
        <f t="shared" si="1"/>
        <v>290</v>
      </c>
      <c r="B291" s="3">
        <f t="shared" si="2"/>
        <v>45401</v>
      </c>
      <c r="C291" s="3" t="str">
        <f t="shared" si="3"/>
        <v/>
      </c>
      <c r="D291" s="3" t="str">
        <f t="shared" si="4"/>
        <v>Cancelled</v>
      </c>
      <c r="E291" s="2" t="str">
        <f t="shared" si="5"/>
        <v/>
      </c>
      <c r="F291" s="2" t="str">
        <f t="array" ref="F291">INDEX(lists!F:F,RANDBETWEEN(1,6))
</f>
        <v>Office</v>
      </c>
      <c r="G291" s="2" t="str">
        <f t="array" ref="G291">IFS(
F291="Bedroom",INDEX(lists!G:G,RANDBETWEEN(1,4)),
F291="Living Room",INDEX(lists!H:H,RANDBETWEEN(1,4)),
F291="Dining",INDEX(lists!I:I,RANDBETWEEN(1,2)),
F291="Kitchen",INDEX(lists!J:J,RANDBETWEEN(1,4)),
F291="Office",INDEX(lists!K:K,RANDBETWEEN(1,3)),
F291="Household Essentials",INDEX(lists!L:L,RANDBETWEEN(1,3))
)
</f>
        <v>Bookshelf</v>
      </c>
      <c r="H291" s="2">
        <f t="shared" si="6"/>
        <v>3</v>
      </c>
      <c r="I291" s="2" t="str">
        <f t="shared" si="7"/>
        <v/>
      </c>
      <c r="J291" s="2" t="str">
        <f t="array" ref="J291">INDEX(lists!A:A,RANDBETWEEN(1,19))
</f>
        <v>Coffee By Design</v>
      </c>
      <c r="K291" s="2" t="str">
        <f t="array" ref="K291">INDEX(lists!N:N,RANDBETWEEN(1,6))
</f>
        <v>Portland</v>
      </c>
      <c r="L291" s="2">
        <f t="shared" si="8"/>
        <v>6</v>
      </c>
      <c r="M291" s="2" t="str">
        <f t="array" ref="M291">INDEX(lists!O:O,RANDBETWEEN(1,2))
</f>
        <v>Pickup</v>
      </c>
      <c r="N291" s="2">
        <f t="shared" si="9"/>
        <v>5</v>
      </c>
    </row>
    <row r="292">
      <c r="A292" s="2">
        <f t="shared" si="1"/>
        <v>291</v>
      </c>
      <c r="B292" s="3">
        <f t="shared" si="2"/>
        <v>45666</v>
      </c>
      <c r="C292" s="3">
        <f t="shared" si="3"/>
        <v>45707</v>
      </c>
      <c r="D292" s="3" t="str">
        <f t="shared" si="4"/>
        <v>Completed</v>
      </c>
      <c r="E292" s="2">
        <f t="shared" si="5"/>
        <v>41</v>
      </c>
      <c r="F292" s="2" t="str">
        <f t="array" ref="F292">INDEX(lists!F:F,RANDBETWEEN(1,6))
</f>
        <v>Household Essentials</v>
      </c>
      <c r="G292" s="2" t="str">
        <f t="array" ref="G292">IFS(
F292="Bedroom",INDEX(lists!G:G,RANDBETWEEN(1,4)),
F292="Living Room",INDEX(lists!H:H,RANDBETWEEN(1,4)),
F292="Dining",INDEX(lists!I:I,RANDBETWEEN(1,2)),
F292="Kitchen",INDEX(lists!J:J,RANDBETWEEN(1,4)),
F292="Office",INDEX(lists!K:K,RANDBETWEEN(1,3)),
F292="Household Essentials",INDEX(lists!L:L,RANDBETWEEN(1,3))
)
</f>
        <v>Rugs</v>
      </c>
      <c r="H292" s="2">
        <f t="shared" si="6"/>
        <v>1</v>
      </c>
      <c r="I292" s="2">
        <f t="shared" si="7"/>
        <v>1</v>
      </c>
      <c r="J292" s="2" t="str">
        <f t="array" ref="J292">INDEX(lists!A:A,RANDBETWEEN(1,19))
</f>
        <v>Portland Harbor Group Raymond James</v>
      </c>
      <c r="K292" s="2" t="str">
        <f t="array" ref="K292">INDEX(lists!N:N,RANDBETWEEN(1,6))
</f>
        <v>Portland</v>
      </c>
      <c r="L292" s="2">
        <f t="shared" si="8"/>
        <v>3</v>
      </c>
      <c r="M292" s="2" t="str">
        <f t="array" ref="M292">INDEX(lists!O:O,RANDBETWEEN(1,2))
</f>
        <v>Pickup</v>
      </c>
      <c r="N292" s="2">
        <f t="shared" si="9"/>
        <v>5</v>
      </c>
    </row>
    <row r="293">
      <c r="A293" s="2">
        <f t="shared" si="1"/>
        <v>292</v>
      </c>
      <c r="B293" s="3">
        <f t="shared" si="2"/>
        <v>45605</v>
      </c>
      <c r="C293" s="3">
        <f t="shared" si="3"/>
        <v>45613</v>
      </c>
      <c r="D293" s="3" t="str">
        <f t="shared" si="4"/>
        <v>Completed</v>
      </c>
      <c r="E293" s="2">
        <f t="shared" si="5"/>
        <v>8</v>
      </c>
      <c r="F293" s="2" t="str">
        <f t="array" ref="F293">INDEX(lists!F:F,RANDBETWEEN(1,6))
</f>
        <v>Bedroom</v>
      </c>
      <c r="G293" s="2" t="str">
        <f t="array" ref="G293">IFS(
F293="Bedroom",INDEX(lists!G:G,RANDBETWEEN(1,4)),
F293="Living Room",INDEX(lists!H:H,RANDBETWEEN(1,4)),
F293="Dining",INDEX(lists!I:I,RANDBETWEEN(1,2)),
F293="Kitchen",INDEX(lists!J:J,RANDBETWEEN(1,4)),
F293="Office",INDEX(lists!K:K,RANDBETWEEN(1,3)),
F293="Household Essentials",INDEX(lists!L:L,RANDBETWEEN(1,3))
)
</f>
        <v>Bed Frame</v>
      </c>
      <c r="H293" s="2">
        <f t="shared" si="6"/>
        <v>4</v>
      </c>
      <c r="I293" s="2">
        <f t="shared" si="7"/>
        <v>2</v>
      </c>
      <c r="J293" s="2" t="str">
        <f t="array" ref="J293">INDEX(lists!A:A,RANDBETWEEN(1,19))
</f>
        <v>EthosVont</v>
      </c>
      <c r="K293" s="2" t="str">
        <f t="array" ref="K293">INDEX(lists!N:N,RANDBETWEEN(1,6))
</f>
        <v>Portland</v>
      </c>
      <c r="L293" s="2">
        <f t="shared" si="8"/>
        <v>3</v>
      </c>
      <c r="M293" s="2" t="str">
        <f t="array" ref="M293">INDEX(lists!O:O,RANDBETWEEN(1,2))
</f>
        <v>Delivery</v>
      </c>
      <c r="N293" s="2">
        <f t="shared" si="9"/>
        <v>1</v>
      </c>
    </row>
    <row r="294">
      <c r="A294" s="2">
        <f t="shared" si="1"/>
        <v>293</v>
      </c>
      <c r="B294" s="3">
        <f t="shared" si="2"/>
        <v>45385</v>
      </c>
      <c r="C294" s="3" t="str">
        <f t="shared" si="3"/>
        <v/>
      </c>
      <c r="D294" s="3" t="str">
        <f t="shared" si="4"/>
        <v>Pending</v>
      </c>
      <c r="E294" s="2" t="str">
        <f t="shared" si="5"/>
        <v/>
      </c>
      <c r="F294" s="2" t="str">
        <f t="array" ref="F294">INDEX(lists!F:F,RANDBETWEEN(1,6))
</f>
        <v>Living Room</v>
      </c>
      <c r="G294" s="2" t="str">
        <f t="array" ref="G294">IFS(
F294="Bedroom",INDEX(lists!G:G,RANDBETWEEN(1,4)),
F294="Living Room",INDEX(lists!H:H,RANDBETWEEN(1,4)),
F294="Dining",INDEX(lists!I:I,RANDBETWEEN(1,2)),
F294="Kitchen",INDEX(lists!J:J,RANDBETWEEN(1,4)),
F294="Office",INDEX(lists!K:K,RANDBETWEEN(1,3)),
F294="Household Essentials",INDEX(lists!L:L,RANDBETWEEN(1,3))
)
</f>
        <v>TV Stand</v>
      </c>
      <c r="H294" s="2">
        <f t="shared" si="6"/>
        <v>2</v>
      </c>
      <c r="I294" s="2" t="str">
        <f t="shared" si="7"/>
        <v/>
      </c>
      <c r="J294" s="2" t="str">
        <f t="array" ref="J294">INDEX(lists!A:A,RANDBETWEEN(1,19))
</f>
        <v>GoGo Refill</v>
      </c>
      <c r="K294" s="2" t="str">
        <f t="array" ref="K294">INDEX(lists!N:N,RANDBETWEEN(1,6))
</f>
        <v>Falmouth</v>
      </c>
      <c r="L294" s="2">
        <f t="shared" si="8"/>
        <v>2</v>
      </c>
      <c r="M294" s="2" t="str">
        <f t="array" ref="M294">INDEX(lists!O:O,RANDBETWEEN(1,2))
</f>
        <v>Pickup</v>
      </c>
      <c r="N294" s="2">
        <f t="shared" si="9"/>
        <v>6</v>
      </c>
    </row>
    <row r="295">
      <c r="A295" s="2">
        <f t="shared" si="1"/>
        <v>294</v>
      </c>
      <c r="B295" s="3">
        <f t="shared" si="2"/>
        <v>45670</v>
      </c>
      <c r="C295" s="3">
        <f t="shared" si="3"/>
        <v>45672</v>
      </c>
      <c r="D295" s="3" t="str">
        <f t="shared" si="4"/>
        <v>Completed</v>
      </c>
      <c r="E295" s="2">
        <f t="shared" si="5"/>
        <v>2</v>
      </c>
      <c r="F295" s="2" t="str">
        <f t="array" ref="F295">INDEX(lists!F:F,RANDBETWEEN(1,6))
</f>
        <v>Dining</v>
      </c>
      <c r="G295" s="2" t="str">
        <f t="array" ref="G295">IFS(
F295="Bedroom",INDEX(lists!G:G,RANDBETWEEN(1,4)),
F295="Living Room",INDEX(lists!H:H,RANDBETWEEN(1,4)),
F295="Dining",INDEX(lists!I:I,RANDBETWEEN(1,2)),
F295="Kitchen",INDEX(lists!J:J,RANDBETWEEN(1,4)),
F295="Office",INDEX(lists!K:K,RANDBETWEEN(1,3)),
F295="Household Essentials",INDEX(lists!L:L,RANDBETWEEN(1,3))
)
</f>
        <v>Dining Table</v>
      </c>
      <c r="H295" s="2">
        <f t="shared" si="6"/>
        <v>2</v>
      </c>
      <c r="I295" s="2">
        <f t="shared" si="7"/>
        <v>2</v>
      </c>
      <c r="J295" s="2" t="str">
        <f t="array" ref="J295">INDEX(lists!A:A,RANDBETWEEN(1,19))
</f>
        <v>Portland Harbor Group Raymond James</v>
      </c>
      <c r="K295" s="2" t="str">
        <f t="array" ref="K295">INDEX(lists!N:N,RANDBETWEEN(1,6))
</f>
        <v>Scarborough</v>
      </c>
      <c r="L295" s="2">
        <f t="shared" si="8"/>
        <v>1</v>
      </c>
      <c r="M295" s="2" t="str">
        <f t="array" ref="M295">INDEX(lists!O:O,RANDBETWEEN(1,2))
</f>
        <v>Pickup</v>
      </c>
      <c r="N295" s="2">
        <f t="shared" si="9"/>
        <v>3</v>
      </c>
    </row>
    <row r="296">
      <c r="A296" s="2">
        <f t="shared" si="1"/>
        <v>295</v>
      </c>
      <c r="B296" s="3">
        <f t="shared" si="2"/>
        <v>45445</v>
      </c>
      <c r="C296" s="3">
        <f t="shared" si="3"/>
        <v>45454</v>
      </c>
      <c r="D296" s="3" t="str">
        <f t="shared" si="4"/>
        <v>Completed</v>
      </c>
      <c r="E296" s="2">
        <f t="shared" si="5"/>
        <v>9</v>
      </c>
      <c r="F296" s="2" t="str">
        <f t="array" ref="F296">INDEX(lists!F:F,RANDBETWEEN(1,6))
</f>
        <v>Living Room</v>
      </c>
      <c r="G296" s="2" t="str">
        <f t="array" ref="G296">IFS(
F296="Bedroom",INDEX(lists!G:G,RANDBETWEEN(1,4)),
F296="Living Room",INDEX(lists!H:H,RANDBETWEEN(1,4)),
F296="Dining",INDEX(lists!I:I,RANDBETWEEN(1,2)),
F296="Kitchen",INDEX(lists!J:J,RANDBETWEEN(1,4)),
F296="Office",INDEX(lists!K:K,RANDBETWEEN(1,3)),
F296="Household Essentials",INDEX(lists!L:L,RANDBETWEEN(1,3))
)
</f>
        <v>Coffee Table</v>
      </c>
      <c r="H296" s="2">
        <f t="shared" si="6"/>
        <v>1</v>
      </c>
      <c r="I296" s="2">
        <f t="shared" si="7"/>
        <v>1</v>
      </c>
      <c r="J296" s="2" t="str">
        <f t="array" ref="J296">INDEX(lists!A:A,RANDBETWEEN(1,19))
</f>
        <v>Shutterbugs 4 Charity</v>
      </c>
      <c r="K296" s="2" t="str">
        <f t="array" ref="K296">INDEX(lists!N:N,RANDBETWEEN(1,6))
</f>
        <v>Portland</v>
      </c>
      <c r="L296" s="2">
        <f t="shared" si="8"/>
        <v>3</v>
      </c>
      <c r="M296" s="2" t="str">
        <f t="array" ref="M296">INDEX(lists!O:O,RANDBETWEEN(1,2))
</f>
        <v>Pickup</v>
      </c>
      <c r="N296" s="2">
        <f t="shared" si="9"/>
        <v>5</v>
      </c>
    </row>
    <row r="297">
      <c r="A297" s="2">
        <f t="shared" si="1"/>
        <v>296</v>
      </c>
      <c r="B297" s="3">
        <f t="shared" si="2"/>
        <v>45614</v>
      </c>
      <c r="C297" s="3">
        <f t="shared" si="3"/>
        <v>45625</v>
      </c>
      <c r="D297" s="3" t="str">
        <f t="shared" si="4"/>
        <v>Completed</v>
      </c>
      <c r="E297" s="2">
        <f t="shared" si="5"/>
        <v>11</v>
      </c>
      <c r="F297" s="2" t="str">
        <f t="array" ref="F297">INDEX(lists!F:F,RANDBETWEEN(1,6))
</f>
        <v>Office</v>
      </c>
      <c r="G297" s="2" t="str">
        <f t="array" ref="G297">IFS(
F297="Bedroom",INDEX(lists!G:G,RANDBETWEEN(1,4)),
F297="Living Room",INDEX(lists!H:H,RANDBETWEEN(1,4)),
F297="Dining",INDEX(lists!I:I,RANDBETWEEN(1,2)),
F297="Kitchen",INDEX(lists!J:J,RANDBETWEEN(1,4)),
F297="Office",INDEX(lists!K:K,RANDBETWEEN(1,3)),
F297="Household Essentials",INDEX(lists!L:L,RANDBETWEEN(1,3))
)
</f>
        <v>Office Chair</v>
      </c>
      <c r="H297" s="2">
        <f t="shared" si="6"/>
        <v>2</v>
      </c>
      <c r="I297" s="2">
        <f t="shared" si="7"/>
        <v>1</v>
      </c>
      <c r="J297" s="2" t="str">
        <f t="array" ref="J297">INDEX(lists!A:A,RANDBETWEEN(1,19))
</f>
        <v>EthosVont</v>
      </c>
      <c r="K297" s="2" t="str">
        <f t="array" ref="K297">INDEX(lists!N:N,RANDBETWEEN(1,6))
</f>
        <v>Scarborough</v>
      </c>
      <c r="L297" s="2">
        <f t="shared" si="8"/>
        <v>6</v>
      </c>
      <c r="M297" s="2" t="str">
        <f t="array" ref="M297">INDEX(lists!O:O,RANDBETWEEN(1,2))
</f>
        <v>Delivery</v>
      </c>
      <c r="N297" s="2">
        <f t="shared" si="9"/>
        <v>5</v>
      </c>
    </row>
    <row r="298">
      <c r="A298" s="2">
        <f t="shared" si="1"/>
        <v>297</v>
      </c>
      <c r="B298" s="3">
        <f t="shared" si="2"/>
        <v>45425</v>
      </c>
      <c r="C298" s="3">
        <f t="shared" si="3"/>
        <v>45430</v>
      </c>
      <c r="D298" s="3" t="str">
        <f t="shared" si="4"/>
        <v>Completed</v>
      </c>
      <c r="E298" s="2">
        <f t="shared" si="5"/>
        <v>5</v>
      </c>
      <c r="F298" s="2" t="str">
        <f t="array" ref="F298">INDEX(lists!F:F,RANDBETWEEN(1,6))
</f>
        <v>Dining</v>
      </c>
      <c r="G298" s="2" t="str">
        <f t="array" ref="G298">IFS(
F298="Bedroom",INDEX(lists!G:G,RANDBETWEEN(1,4)),
F298="Living Room",INDEX(lists!H:H,RANDBETWEEN(1,4)),
F298="Dining",INDEX(lists!I:I,RANDBETWEEN(1,2)),
F298="Kitchen",INDEX(lists!J:J,RANDBETWEEN(1,4)),
F298="Office",INDEX(lists!K:K,RANDBETWEEN(1,3)),
F298="Household Essentials",INDEX(lists!L:L,RANDBETWEEN(1,3))
)
</f>
        <v>Dining Chair</v>
      </c>
      <c r="H298" s="2">
        <f t="shared" si="6"/>
        <v>3</v>
      </c>
      <c r="I298" s="2">
        <f t="shared" si="7"/>
        <v>3</v>
      </c>
      <c r="J298" s="2" t="str">
        <f t="array" ref="J298">INDEX(lists!A:A,RANDBETWEEN(1,19))
</f>
        <v>Westbrook Housing</v>
      </c>
      <c r="K298" s="2" t="str">
        <f t="array" ref="K298">INDEX(lists!N:N,RANDBETWEEN(1,6))
</f>
        <v>Falmouth</v>
      </c>
      <c r="L298" s="2">
        <f t="shared" si="8"/>
        <v>6</v>
      </c>
      <c r="M298" s="2" t="str">
        <f t="array" ref="M298">INDEX(lists!O:O,RANDBETWEEN(1,2))
</f>
        <v>Delivery</v>
      </c>
      <c r="N298" s="2">
        <f t="shared" si="9"/>
        <v>6</v>
      </c>
    </row>
    <row r="299">
      <c r="A299" s="2">
        <f t="shared" si="1"/>
        <v>298</v>
      </c>
      <c r="B299" s="3">
        <f t="shared" si="2"/>
        <v>45653</v>
      </c>
      <c r="C299" s="3">
        <f t="shared" si="3"/>
        <v>45662</v>
      </c>
      <c r="D299" s="3" t="str">
        <f t="shared" si="4"/>
        <v>Completed</v>
      </c>
      <c r="E299" s="2">
        <f t="shared" si="5"/>
        <v>9</v>
      </c>
      <c r="F299" s="2" t="str">
        <f t="array" ref="F299">INDEX(lists!F:F,RANDBETWEEN(1,6))
</f>
        <v>Living Room</v>
      </c>
      <c r="G299" s="2" t="str">
        <f t="array" ref="G299">IFS(
F299="Bedroom",INDEX(lists!G:G,RANDBETWEEN(1,4)),
F299="Living Room",INDEX(lists!H:H,RANDBETWEEN(1,4)),
F299="Dining",INDEX(lists!I:I,RANDBETWEEN(1,2)),
F299="Kitchen",INDEX(lists!J:J,RANDBETWEEN(1,4)),
F299="Office",INDEX(lists!K:K,RANDBETWEEN(1,3)),
F299="Household Essentials",INDEX(lists!L:L,RANDBETWEEN(1,3))
)
</f>
        <v>Sofa</v>
      </c>
      <c r="H299" s="2">
        <f t="shared" si="6"/>
        <v>1</v>
      </c>
      <c r="I299" s="2">
        <f t="shared" si="7"/>
        <v>1</v>
      </c>
      <c r="J299" s="2" t="str">
        <f t="array" ref="J299">INDEX(lists!A:A,RANDBETWEEN(1,19))
</f>
        <v>Systems Engineering</v>
      </c>
      <c r="K299" s="2" t="str">
        <f t="array" ref="K299">INDEX(lists!N:N,RANDBETWEEN(1,6))
</f>
        <v>Portland</v>
      </c>
      <c r="L299" s="2">
        <f t="shared" si="8"/>
        <v>6</v>
      </c>
      <c r="M299" s="2" t="str">
        <f t="array" ref="M299">INDEX(lists!O:O,RANDBETWEEN(1,2))
</f>
        <v>Pickup</v>
      </c>
      <c r="N299" s="2">
        <f t="shared" si="9"/>
        <v>3</v>
      </c>
    </row>
    <row r="300">
      <c r="A300" s="2">
        <f t="shared" si="1"/>
        <v>299</v>
      </c>
      <c r="B300" s="3">
        <f t="shared" si="2"/>
        <v>45816</v>
      </c>
      <c r="C300" s="3">
        <f t="shared" si="3"/>
        <v>45820</v>
      </c>
      <c r="D300" s="3" t="str">
        <f t="shared" si="4"/>
        <v>Completed</v>
      </c>
      <c r="E300" s="2">
        <f t="shared" si="5"/>
        <v>4</v>
      </c>
      <c r="F300" s="2" t="str">
        <f t="array" ref="F300">INDEX(lists!F:F,RANDBETWEEN(1,6))
</f>
        <v>Office</v>
      </c>
      <c r="G300" s="2" t="str">
        <f t="array" ref="G300">IFS(
F300="Bedroom",INDEX(lists!G:G,RANDBETWEEN(1,4)),
F300="Living Room",INDEX(lists!H:H,RANDBETWEEN(1,4)),
F300="Dining",INDEX(lists!I:I,RANDBETWEEN(1,2)),
F300="Kitchen",INDEX(lists!J:J,RANDBETWEEN(1,4)),
F300="Office",INDEX(lists!K:K,RANDBETWEEN(1,3)),
F300="Household Essentials",INDEX(lists!L:L,RANDBETWEEN(1,3))
)
</f>
        <v>Bookshelf</v>
      </c>
      <c r="H300" s="2">
        <f t="shared" si="6"/>
        <v>4</v>
      </c>
      <c r="I300" s="2">
        <f t="shared" si="7"/>
        <v>2</v>
      </c>
      <c r="J300" s="2" t="str">
        <f t="array" ref="J300">INDEX(lists!A:A,RANDBETWEEN(1,19))
</f>
        <v>GoGo Refill</v>
      </c>
      <c r="K300" s="2" t="str">
        <f t="array" ref="K300">INDEX(lists!N:N,RANDBETWEEN(1,6))
</f>
        <v>Westbrook</v>
      </c>
      <c r="L300" s="2">
        <f t="shared" si="8"/>
        <v>3</v>
      </c>
      <c r="M300" s="2" t="str">
        <f t="array" ref="M300">INDEX(lists!O:O,RANDBETWEEN(1,2))
</f>
        <v>Delivery</v>
      </c>
      <c r="N300" s="2">
        <f t="shared" si="9"/>
        <v>6</v>
      </c>
    </row>
    <row r="301">
      <c r="A301" s="2">
        <f t="shared" si="1"/>
        <v>300</v>
      </c>
      <c r="B301" s="3">
        <f t="shared" si="2"/>
        <v>45560</v>
      </c>
      <c r="C301" s="3" t="str">
        <f t="shared" si="3"/>
        <v/>
      </c>
      <c r="D301" s="3" t="str">
        <f t="shared" si="4"/>
        <v>Cancelled</v>
      </c>
      <c r="E301" s="2" t="str">
        <f t="shared" si="5"/>
        <v/>
      </c>
      <c r="F301" s="2" t="str">
        <f t="array" ref="F301">INDEX(lists!F:F,RANDBETWEEN(1,6))
</f>
        <v>Dining</v>
      </c>
      <c r="G301" s="2" t="str">
        <f t="array" ref="G301">IFS(
F301="Bedroom",INDEX(lists!G:G,RANDBETWEEN(1,4)),
F301="Living Room",INDEX(lists!H:H,RANDBETWEEN(1,4)),
F301="Dining",INDEX(lists!I:I,RANDBETWEEN(1,2)),
F301="Kitchen",INDEX(lists!J:J,RANDBETWEEN(1,4)),
F301="Office",INDEX(lists!K:K,RANDBETWEEN(1,3)),
F301="Household Essentials",INDEX(lists!L:L,RANDBETWEEN(1,3))
)
</f>
        <v>Dining Chair</v>
      </c>
      <c r="H301" s="2">
        <f t="shared" si="6"/>
        <v>4</v>
      </c>
      <c r="I301" s="2" t="str">
        <f t="shared" si="7"/>
        <v/>
      </c>
      <c r="J301" s="2" t="str">
        <f t="array" ref="J301">INDEX(lists!A:A,RANDBETWEEN(1,19))
</f>
        <v>Portland Mattress Makers</v>
      </c>
      <c r="K301" s="2" t="str">
        <f t="array" ref="K301">INDEX(lists!N:N,RANDBETWEEN(1,6))
</f>
        <v>Westbrook</v>
      </c>
      <c r="L301" s="2">
        <f t="shared" si="8"/>
        <v>1</v>
      </c>
      <c r="M301" s="2" t="str">
        <f t="array" ref="M301">INDEX(lists!O:O,RANDBETWEEN(1,2))
</f>
        <v>Delivery</v>
      </c>
      <c r="N301" s="2">
        <f t="shared" si="9"/>
        <v>3</v>
      </c>
    </row>
    <row r="302">
      <c r="A302" s="2">
        <f t="shared" si="1"/>
        <v>301</v>
      </c>
      <c r="B302" s="3">
        <f t="shared" si="2"/>
        <v>45658</v>
      </c>
      <c r="C302" s="3">
        <f t="shared" si="3"/>
        <v>45666</v>
      </c>
      <c r="D302" s="3" t="str">
        <f t="shared" si="4"/>
        <v>Completed</v>
      </c>
      <c r="E302" s="2">
        <f t="shared" si="5"/>
        <v>8</v>
      </c>
      <c r="F302" s="2" t="str">
        <f t="array" ref="F302">INDEX(lists!F:F,RANDBETWEEN(1,6))
</f>
        <v>Bedroom</v>
      </c>
      <c r="G302" s="2" t="str">
        <f t="array" ref="G302">IFS(
F302="Bedroom",INDEX(lists!G:G,RANDBETWEEN(1,4)),
F302="Living Room",INDEX(lists!H:H,RANDBETWEEN(1,4)),
F302="Dining",INDEX(lists!I:I,RANDBETWEEN(1,2)),
F302="Kitchen",INDEX(lists!J:J,RANDBETWEEN(1,4)),
F302="Office",INDEX(lists!K:K,RANDBETWEEN(1,3)),
F302="Household Essentials",INDEX(lists!L:L,RANDBETWEEN(1,3))
)
</f>
        <v>Nightstand</v>
      </c>
      <c r="H302" s="2">
        <f t="shared" si="6"/>
        <v>2</v>
      </c>
      <c r="I302" s="2">
        <f t="shared" si="7"/>
        <v>2</v>
      </c>
      <c r="J302" s="2" t="str">
        <f t="array" ref="J302">INDEX(lists!A:A,RANDBETWEEN(1,19))
</f>
        <v>Saco &amp; Biddeford Savings</v>
      </c>
      <c r="K302" s="2" t="str">
        <f t="array" ref="K302">INDEX(lists!N:N,RANDBETWEEN(1,6))
</f>
        <v>Westbrook</v>
      </c>
      <c r="L302" s="2">
        <f t="shared" si="8"/>
        <v>3</v>
      </c>
      <c r="M302" s="2" t="str">
        <f t="array" ref="M302">INDEX(lists!O:O,RANDBETWEEN(1,2))
</f>
        <v>Delivery</v>
      </c>
      <c r="N302" s="2">
        <f t="shared" si="9"/>
        <v>1</v>
      </c>
    </row>
    <row r="303">
      <c r="A303" s="2">
        <f t="shared" si="1"/>
        <v>302</v>
      </c>
      <c r="B303" s="3">
        <f t="shared" si="2"/>
        <v>45715</v>
      </c>
      <c r="C303" s="3">
        <f t="shared" si="3"/>
        <v>45729</v>
      </c>
      <c r="D303" s="3" t="str">
        <f t="shared" si="4"/>
        <v>Completed</v>
      </c>
      <c r="E303" s="2">
        <f t="shared" si="5"/>
        <v>14</v>
      </c>
      <c r="F303" s="2" t="str">
        <f t="array" ref="F303">INDEX(lists!F:F,RANDBETWEEN(1,6))
</f>
        <v>Household Essentials</v>
      </c>
      <c r="G303" s="2" t="str">
        <f t="array" ref="G303">IFS(
F303="Bedroom",INDEX(lists!G:G,RANDBETWEEN(1,4)),
F303="Living Room",INDEX(lists!H:H,RANDBETWEEN(1,4)),
F303="Dining",INDEX(lists!I:I,RANDBETWEEN(1,2)),
F303="Kitchen",INDEX(lists!J:J,RANDBETWEEN(1,4)),
F303="Office",INDEX(lists!K:K,RANDBETWEEN(1,3)),
F303="Household Essentials",INDEX(lists!L:L,RANDBETWEEN(1,3))
)
</f>
        <v>Bedding</v>
      </c>
      <c r="H303" s="2">
        <f t="shared" si="6"/>
        <v>4</v>
      </c>
      <c r="I303" s="2">
        <f t="shared" si="7"/>
        <v>2</v>
      </c>
      <c r="J303" s="2" t="str">
        <f t="array" ref="J303">INDEX(lists!A:A,RANDBETWEEN(1,19))
</f>
        <v>Portland Mattress Makers</v>
      </c>
      <c r="K303" s="2" t="str">
        <f t="array" ref="K303">INDEX(lists!N:N,RANDBETWEEN(1,6))
</f>
        <v>Falmouth</v>
      </c>
      <c r="L303" s="2">
        <f t="shared" si="8"/>
        <v>6</v>
      </c>
      <c r="M303" s="2" t="str">
        <f t="array" ref="M303">INDEX(lists!O:O,RANDBETWEEN(1,2))
</f>
        <v>Delivery</v>
      </c>
      <c r="N303" s="2">
        <f t="shared" si="9"/>
        <v>5</v>
      </c>
    </row>
    <row r="304">
      <c r="A304" s="2">
        <f t="shared" si="1"/>
        <v>303</v>
      </c>
      <c r="B304" s="3">
        <f t="shared" si="2"/>
        <v>45822</v>
      </c>
      <c r="C304" s="3">
        <f t="shared" si="3"/>
        <v>45856</v>
      </c>
      <c r="D304" s="3" t="str">
        <f t="shared" si="4"/>
        <v>Completed</v>
      </c>
      <c r="E304" s="2">
        <f t="shared" si="5"/>
        <v>34</v>
      </c>
      <c r="F304" s="2" t="str">
        <f t="array" ref="F304">INDEX(lists!F:F,RANDBETWEEN(1,6))
</f>
        <v>Dining</v>
      </c>
      <c r="G304" s="2" t="str">
        <f t="array" ref="G304">IFS(
F304="Bedroom",INDEX(lists!G:G,RANDBETWEEN(1,4)),
F304="Living Room",INDEX(lists!H:H,RANDBETWEEN(1,4)),
F304="Dining",INDEX(lists!I:I,RANDBETWEEN(1,2)),
F304="Kitchen",INDEX(lists!J:J,RANDBETWEEN(1,4)),
F304="Office",INDEX(lists!K:K,RANDBETWEEN(1,3)),
F304="Household Essentials",INDEX(lists!L:L,RANDBETWEEN(1,3))
)
</f>
        <v>Dining Chair</v>
      </c>
      <c r="H304" s="2">
        <f t="shared" si="6"/>
        <v>3</v>
      </c>
      <c r="I304" s="2">
        <f t="shared" si="7"/>
        <v>1</v>
      </c>
      <c r="J304" s="2" t="str">
        <f t="array" ref="J304">INDEX(lists!A:A,RANDBETWEEN(1,19))
</f>
        <v>GoGo Refill</v>
      </c>
      <c r="K304" s="2" t="str">
        <f t="array" ref="K304">INDEX(lists!N:N,RANDBETWEEN(1,6))
</f>
        <v>Scarborough</v>
      </c>
      <c r="L304" s="2">
        <f t="shared" si="8"/>
        <v>3</v>
      </c>
      <c r="M304" s="2" t="str">
        <f t="array" ref="M304">INDEX(lists!O:O,RANDBETWEEN(1,2))
</f>
        <v>Delivery</v>
      </c>
      <c r="N304" s="2">
        <f t="shared" si="9"/>
        <v>1</v>
      </c>
    </row>
    <row r="305">
      <c r="A305" s="2">
        <f t="shared" si="1"/>
        <v>304</v>
      </c>
      <c r="B305" s="3">
        <f t="shared" si="2"/>
        <v>45742</v>
      </c>
      <c r="C305" s="3">
        <f t="shared" si="3"/>
        <v>45748</v>
      </c>
      <c r="D305" s="3" t="str">
        <f t="shared" si="4"/>
        <v>Completed</v>
      </c>
      <c r="E305" s="2">
        <f t="shared" si="5"/>
        <v>6</v>
      </c>
      <c r="F305" s="2" t="str">
        <f t="array" ref="F305">INDEX(lists!F:F,RANDBETWEEN(1,6))
</f>
        <v>Kitchen</v>
      </c>
      <c r="G305" s="2" t="str">
        <f t="array" ref="G305">IFS(
F305="Bedroom",INDEX(lists!G:G,RANDBETWEEN(1,4)),
F305="Living Room",INDEX(lists!H:H,RANDBETWEEN(1,4)),
F305="Dining",INDEX(lists!I:I,RANDBETWEEN(1,2)),
F305="Kitchen",INDEX(lists!J:J,RANDBETWEEN(1,4)),
F305="Office",INDEX(lists!K:K,RANDBETWEEN(1,3)),
F305="Household Essentials",INDEX(lists!L:L,RANDBETWEEN(1,3))
)
</f>
        <v>Small Appliances</v>
      </c>
      <c r="H305" s="2">
        <f t="shared" si="6"/>
        <v>4</v>
      </c>
      <c r="I305" s="2">
        <f t="shared" si="7"/>
        <v>4</v>
      </c>
      <c r="J305" s="2" t="str">
        <f t="array" ref="J305">INDEX(lists!A:A,RANDBETWEEN(1,19))
</f>
        <v>Saco &amp; Biddeford Savings</v>
      </c>
      <c r="K305" s="2" t="str">
        <f t="array" ref="K305">INDEX(lists!N:N,RANDBETWEEN(1,6))
</f>
        <v>Biddeford</v>
      </c>
      <c r="L305" s="2">
        <f t="shared" si="8"/>
        <v>1</v>
      </c>
      <c r="M305" s="2" t="str">
        <f t="array" ref="M305">INDEX(lists!O:O,RANDBETWEEN(1,2))
</f>
        <v>Delivery</v>
      </c>
      <c r="N305" s="2">
        <f t="shared" si="9"/>
        <v>1</v>
      </c>
    </row>
    <row r="306">
      <c r="A306" s="2">
        <f t="shared" si="1"/>
        <v>305</v>
      </c>
      <c r="B306" s="3">
        <f t="shared" si="2"/>
        <v>45825</v>
      </c>
      <c r="C306" s="3">
        <f t="shared" si="3"/>
        <v>45831</v>
      </c>
      <c r="D306" s="3" t="str">
        <f t="shared" si="4"/>
        <v>Completed</v>
      </c>
      <c r="E306" s="2">
        <f t="shared" si="5"/>
        <v>6</v>
      </c>
      <c r="F306" s="2" t="str">
        <f t="array" ref="F306">INDEX(lists!F:F,RANDBETWEEN(1,6))
</f>
        <v>Kitchen</v>
      </c>
      <c r="G306" s="2" t="str">
        <f t="array" ref="G306">IFS(
F306="Bedroom",INDEX(lists!G:G,RANDBETWEEN(1,4)),
F306="Living Room",INDEX(lists!H:H,RANDBETWEEN(1,4)),
F306="Dining",INDEX(lists!I:I,RANDBETWEEN(1,2)),
F306="Kitchen",INDEX(lists!J:J,RANDBETWEEN(1,4)),
F306="Office",INDEX(lists!K:K,RANDBETWEEN(1,3)),
F306="Household Essentials",INDEX(lists!L:L,RANDBETWEEN(1,3))
)
</f>
        <v>Dishes</v>
      </c>
      <c r="H306" s="2">
        <f t="shared" si="6"/>
        <v>2</v>
      </c>
      <c r="I306" s="2">
        <f t="shared" si="7"/>
        <v>1</v>
      </c>
      <c r="J306" s="2" t="str">
        <f t="array" ref="J306">INDEX(lists!A:A,RANDBETWEEN(1,19))
</f>
        <v>Systems Engineering</v>
      </c>
      <c r="K306" s="2" t="str">
        <f t="array" ref="K306">INDEX(lists!N:N,RANDBETWEEN(1,6))
</f>
        <v>South Portland</v>
      </c>
      <c r="L306" s="2">
        <f t="shared" si="8"/>
        <v>2</v>
      </c>
      <c r="M306" s="2" t="str">
        <f t="array" ref="M306">INDEX(lists!O:O,RANDBETWEEN(1,2))
</f>
        <v>Delivery</v>
      </c>
      <c r="N306" s="2">
        <f t="shared" si="9"/>
        <v>3</v>
      </c>
    </row>
    <row r="307">
      <c r="A307" s="2">
        <f t="shared" si="1"/>
        <v>306</v>
      </c>
      <c r="B307" s="3">
        <f t="shared" si="2"/>
        <v>45298</v>
      </c>
      <c r="C307" s="3">
        <f t="shared" si="3"/>
        <v>45306</v>
      </c>
      <c r="D307" s="3" t="str">
        <f t="shared" si="4"/>
        <v>Completed</v>
      </c>
      <c r="E307" s="2">
        <f t="shared" si="5"/>
        <v>8</v>
      </c>
      <c r="F307" s="2" t="str">
        <f t="array" ref="F307">INDEX(lists!F:F,RANDBETWEEN(1,6))
</f>
        <v>Bedroom</v>
      </c>
      <c r="G307" s="2" t="str">
        <f t="array" ref="G307">IFS(
F307="Bedroom",INDEX(lists!G:G,RANDBETWEEN(1,4)),
F307="Living Room",INDEX(lists!H:H,RANDBETWEEN(1,4)),
F307="Dining",INDEX(lists!I:I,RANDBETWEEN(1,2)),
F307="Kitchen",INDEX(lists!J:J,RANDBETWEEN(1,4)),
F307="Office",INDEX(lists!K:K,RANDBETWEEN(1,3)),
F307="Household Essentials",INDEX(lists!L:L,RANDBETWEEN(1,3))
)
</f>
        <v>Nightstand</v>
      </c>
      <c r="H307" s="2">
        <f t="shared" si="6"/>
        <v>1</v>
      </c>
      <c r="I307" s="2">
        <f t="shared" si="7"/>
        <v>1</v>
      </c>
      <c r="J307" s="2" t="str">
        <f t="array" ref="J307">INDEX(lists!A:A,RANDBETWEEN(1,19))
</f>
        <v>Coffee By Design</v>
      </c>
      <c r="K307" s="2" t="str">
        <f t="array" ref="K307">INDEX(lists!N:N,RANDBETWEEN(1,6))
</f>
        <v>Falmouth</v>
      </c>
      <c r="L307" s="2">
        <f t="shared" si="8"/>
        <v>1</v>
      </c>
      <c r="M307" s="2" t="str">
        <f t="array" ref="M307">INDEX(lists!O:O,RANDBETWEEN(1,2))
</f>
        <v>Delivery</v>
      </c>
      <c r="N307" s="2">
        <f t="shared" si="9"/>
        <v>2</v>
      </c>
    </row>
    <row r="308">
      <c r="A308" s="2">
        <f t="shared" si="1"/>
        <v>307</v>
      </c>
      <c r="B308" s="3">
        <f t="shared" si="2"/>
        <v>45727</v>
      </c>
      <c r="C308" s="3" t="str">
        <f t="shared" si="3"/>
        <v/>
      </c>
      <c r="D308" s="3" t="str">
        <f t="shared" si="4"/>
        <v>Pending</v>
      </c>
      <c r="E308" s="2" t="str">
        <f t="shared" si="5"/>
        <v/>
      </c>
      <c r="F308" s="2" t="str">
        <f t="array" ref="F308">INDEX(lists!F:F,RANDBETWEEN(1,6))
</f>
        <v>Bedroom</v>
      </c>
      <c r="G308" s="2" t="str">
        <f t="array" ref="G308">IFS(
F308="Bedroom",INDEX(lists!G:G,RANDBETWEEN(1,4)),
F308="Living Room",INDEX(lists!H:H,RANDBETWEEN(1,4)),
F308="Dining",INDEX(lists!I:I,RANDBETWEEN(1,2)),
F308="Kitchen",INDEX(lists!J:J,RANDBETWEEN(1,4)),
F308="Office",INDEX(lists!K:K,RANDBETWEEN(1,3)),
F308="Household Essentials",INDEX(lists!L:L,RANDBETWEEN(1,3))
)
</f>
        <v>Nightstand</v>
      </c>
      <c r="H308" s="2">
        <f t="shared" si="6"/>
        <v>3</v>
      </c>
      <c r="I308" s="2" t="str">
        <f t="shared" si="7"/>
        <v/>
      </c>
      <c r="J308" s="2" t="str">
        <f t="array" ref="J308">INDEX(lists!A:A,RANDBETWEEN(1,19))
</f>
        <v>Jordan's Furniture</v>
      </c>
      <c r="K308" s="2" t="str">
        <f t="array" ref="K308">INDEX(lists!N:N,RANDBETWEEN(1,6))
</f>
        <v>Portland</v>
      </c>
      <c r="L308" s="2">
        <f t="shared" si="8"/>
        <v>6</v>
      </c>
      <c r="M308" s="2" t="str">
        <f t="array" ref="M308">INDEX(lists!O:O,RANDBETWEEN(1,2))
</f>
        <v>Delivery</v>
      </c>
      <c r="N308" s="2">
        <f t="shared" si="9"/>
        <v>5</v>
      </c>
    </row>
    <row r="309">
      <c r="A309" s="2">
        <f t="shared" si="1"/>
        <v>308</v>
      </c>
      <c r="B309" s="3">
        <f t="shared" si="2"/>
        <v>45384</v>
      </c>
      <c r="C309" s="3">
        <f t="shared" si="3"/>
        <v>45393</v>
      </c>
      <c r="D309" s="3" t="str">
        <f t="shared" si="4"/>
        <v>Completed</v>
      </c>
      <c r="E309" s="2">
        <f t="shared" si="5"/>
        <v>9</v>
      </c>
      <c r="F309" s="2" t="str">
        <f t="array" ref="F309">INDEX(lists!F:F,RANDBETWEEN(1,6))
</f>
        <v>Living Room</v>
      </c>
      <c r="G309" s="2" t="str">
        <f t="array" ref="G309">IFS(
F309="Bedroom",INDEX(lists!G:G,RANDBETWEEN(1,4)),
F309="Living Room",INDEX(lists!H:H,RANDBETWEEN(1,4)),
F309="Dining",INDEX(lists!I:I,RANDBETWEEN(1,2)),
F309="Kitchen",INDEX(lists!J:J,RANDBETWEEN(1,4)),
F309="Office",INDEX(lists!K:K,RANDBETWEEN(1,3)),
F309="Household Essentials",INDEX(lists!L:L,RANDBETWEEN(1,3))
)
</f>
        <v>Coffee Table</v>
      </c>
      <c r="H309" s="2">
        <f t="shared" si="6"/>
        <v>2</v>
      </c>
      <c r="I309" s="2">
        <f t="shared" si="7"/>
        <v>2</v>
      </c>
      <c r="J309" s="2" t="str">
        <f t="array" ref="J309">INDEX(lists!A:A,RANDBETWEEN(1,19))
</f>
        <v>Rowe Ford Westbrook</v>
      </c>
      <c r="K309" s="2" t="str">
        <f t="array" ref="K309">INDEX(lists!N:N,RANDBETWEEN(1,6))
</f>
        <v>Falmouth</v>
      </c>
      <c r="L309" s="2">
        <f t="shared" si="8"/>
        <v>5</v>
      </c>
      <c r="M309" s="2" t="str">
        <f t="array" ref="M309">INDEX(lists!O:O,RANDBETWEEN(1,2))
</f>
        <v>Delivery</v>
      </c>
      <c r="N309" s="2">
        <f t="shared" si="9"/>
        <v>2</v>
      </c>
    </row>
    <row r="310">
      <c r="A310" s="2">
        <f t="shared" si="1"/>
        <v>309</v>
      </c>
      <c r="B310" s="3">
        <f t="shared" si="2"/>
        <v>45650</v>
      </c>
      <c r="C310" s="3" t="str">
        <f t="shared" si="3"/>
        <v/>
      </c>
      <c r="D310" s="3" t="str">
        <f t="shared" si="4"/>
        <v>Pending</v>
      </c>
      <c r="E310" s="2" t="str">
        <f t="shared" si="5"/>
        <v/>
      </c>
      <c r="F310" s="2" t="str">
        <f t="array" ref="F310">INDEX(lists!F:F,RANDBETWEEN(1,6))
</f>
        <v>Kitchen</v>
      </c>
      <c r="G310" s="2" t="str">
        <f t="array" ref="G310">IFS(
F310="Bedroom",INDEX(lists!G:G,RANDBETWEEN(1,4)),
F310="Living Room",INDEX(lists!H:H,RANDBETWEEN(1,4)),
F310="Dining",INDEX(lists!I:I,RANDBETWEEN(1,2)),
F310="Kitchen",INDEX(lists!J:J,RANDBETWEEN(1,4)),
F310="Office",INDEX(lists!K:K,RANDBETWEEN(1,3)),
F310="Household Essentials",INDEX(lists!L:L,RANDBETWEEN(1,3))
)
</f>
        <v>Pots &amp; Pans</v>
      </c>
      <c r="H310" s="2">
        <f t="shared" si="6"/>
        <v>3</v>
      </c>
      <c r="I310" s="2" t="str">
        <f t="shared" si="7"/>
        <v/>
      </c>
      <c r="J310" s="2" t="str">
        <f t="array" ref="J310">INDEX(lists!A:A,RANDBETWEEN(1,19))
</f>
        <v>Shutterbugs 4 Charity</v>
      </c>
      <c r="K310" s="2" t="str">
        <f t="array" ref="K310">INDEX(lists!N:N,RANDBETWEEN(1,6))
</f>
        <v>Portland</v>
      </c>
      <c r="L310" s="2">
        <f t="shared" si="8"/>
        <v>1</v>
      </c>
      <c r="M310" s="2" t="str">
        <f t="array" ref="M310">INDEX(lists!O:O,RANDBETWEEN(1,2))
</f>
        <v>Pickup</v>
      </c>
      <c r="N310" s="2">
        <f t="shared" si="9"/>
        <v>3</v>
      </c>
    </row>
    <row r="311">
      <c r="A311" s="2">
        <f t="shared" si="1"/>
        <v>310</v>
      </c>
      <c r="B311" s="3">
        <f t="shared" si="2"/>
        <v>45413</v>
      </c>
      <c r="C311" s="3">
        <f t="shared" si="3"/>
        <v>45414</v>
      </c>
      <c r="D311" s="3" t="str">
        <f t="shared" si="4"/>
        <v>Completed</v>
      </c>
      <c r="E311" s="2">
        <f t="shared" si="5"/>
        <v>1</v>
      </c>
      <c r="F311" s="2" t="str">
        <f t="array" ref="F311">INDEX(lists!F:F,RANDBETWEEN(1,6))
</f>
        <v>Dining</v>
      </c>
      <c r="G311" s="2" t="str">
        <f t="array" ref="G311">IFS(
F311="Bedroom",INDEX(lists!G:G,RANDBETWEEN(1,4)),
F311="Living Room",INDEX(lists!H:H,RANDBETWEEN(1,4)),
F311="Dining",INDEX(lists!I:I,RANDBETWEEN(1,2)),
F311="Kitchen",INDEX(lists!J:J,RANDBETWEEN(1,4)),
F311="Office",INDEX(lists!K:K,RANDBETWEEN(1,3)),
F311="Household Essentials",INDEX(lists!L:L,RANDBETWEEN(1,3))
)
</f>
        <v>Dining Table</v>
      </c>
      <c r="H311" s="2">
        <f t="shared" si="6"/>
        <v>3</v>
      </c>
      <c r="I311" s="2">
        <f t="shared" si="7"/>
        <v>2</v>
      </c>
      <c r="J311" s="2" t="str">
        <f t="array" ref="J311">INDEX(lists!A:A,RANDBETWEEN(1,19))
</f>
        <v>Jordan's Furniture</v>
      </c>
      <c r="K311" s="2" t="str">
        <f t="array" ref="K311">INDEX(lists!N:N,RANDBETWEEN(1,6))
</f>
        <v>Biddeford</v>
      </c>
      <c r="L311" s="2">
        <f t="shared" si="8"/>
        <v>5</v>
      </c>
      <c r="M311" s="2" t="str">
        <f t="array" ref="M311">INDEX(lists!O:O,RANDBETWEEN(1,2))
</f>
        <v>Pickup</v>
      </c>
      <c r="N311" s="2">
        <f t="shared" si="9"/>
        <v>3</v>
      </c>
    </row>
    <row r="312">
      <c r="A312" s="2">
        <f t="shared" si="1"/>
        <v>311</v>
      </c>
      <c r="B312" s="3">
        <f t="shared" si="2"/>
        <v>45513</v>
      </c>
      <c r="C312" s="3">
        <f t="shared" si="3"/>
        <v>45514</v>
      </c>
      <c r="D312" s="3" t="str">
        <f t="shared" si="4"/>
        <v>Completed</v>
      </c>
      <c r="E312" s="2">
        <f t="shared" si="5"/>
        <v>1</v>
      </c>
      <c r="F312" s="2" t="str">
        <f t="array" ref="F312">INDEX(lists!F:F,RANDBETWEEN(1,6))
</f>
        <v>Office</v>
      </c>
      <c r="G312" s="2" t="str">
        <f t="array" ref="G312">IFS(
F312="Bedroom",INDEX(lists!G:G,RANDBETWEEN(1,4)),
F312="Living Room",INDEX(lists!H:H,RANDBETWEEN(1,4)),
F312="Dining",INDEX(lists!I:I,RANDBETWEEN(1,2)),
F312="Kitchen",INDEX(lists!J:J,RANDBETWEEN(1,4)),
F312="Office",INDEX(lists!K:K,RANDBETWEEN(1,3)),
F312="Household Essentials",INDEX(lists!L:L,RANDBETWEEN(1,3))
)
</f>
        <v>Office Chair</v>
      </c>
      <c r="H312" s="2">
        <f t="shared" si="6"/>
        <v>4</v>
      </c>
      <c r="I312" s="2">
        <f t="shared" si="7"/>
        <v>4</v>
      </c>
      <c r="J312" s="2" t="str">
        <f t="array" ref="J312">INDEX(lists!A:A,RANDBETWEEN(1,19))
</f>
        <v>J.B Brown and Sons</v>
      </c>
      <c r="K312" s="2" t="str">
        <f t="array" ref="K312">INDEX(lists!N:N,RANDBETWEEN(1,6))
</f>
        <v>Scarborough</v>
      </c>
      <c r="L312" s="2">
        <f t="shared" si="8"/>
        <v>6</v>
      </c>
      <c r="M312" s="2" t="str">
        <f t="array" ref="M312">INDEX(lists!O:O,RANDBETWEEN(1,2))
</f>
        <v>Pickup</v>
      </c>
      <c r="N312" s="2">
        <f t="shared" si="9"/>
        <v>1</v>
      </c>
    </row>
    <row r="313">
      <c r="A313" s="2">
        <f t="shared" si="1"/>
        <v>312</v>
      </c>
      <c r="B313" s="3">
        <f t="shared" si="2"/>
        <v>45562</v>
      </c>
      <c r="C313" s="3">
        <f t="shared" si="3"/>
        <v>45570</v>
      </c>
      <c r="D313" s="3" t="str">
        <f t="shared" si="4"/>
        <v>Completed</v>
      </c>
      <c r="E313" s="2">
        <f t="shared" si="5"/>
        <v>8</v>
      </c>
      <c r="F313" s="2" t="str">
        <f t="array" ref="F313">INDEX(lists!F:F,RANDBETWEEN(1,6))
</f>
        <v>Office</v>
      </c>
      <c r="G313" s="2" t="str">
        <f t="array" ref="G313">IFS(
F313="Bedroom",INDEX(lists!G:G,RANDBETWEEN(1,4)),
F313="Living Room",INDEX(lists!H:H,RANDBETWEEN(1,4)),
F313="Dining",INDEX(lists!I:I,RANDBETWEEN(1,2)),
F313="Kitchen",INDEX(lists!J:J,RANDBETWEEN(1,4)),
F313="Office",INDEX(lists!K:K,RANDBETWEEN(1,3)),
F313="Household Essentials",INDEX(lists!L:L,RANDBETWEEN(1,3))
)
</f>
        <v>Office Chair</v>
      </c>
      <c r="H313" s="2">
        <f t="shared" si="6"/>
        <v>1</v>
      </c>
      <c r="I313" s="2">
        <f t="shared" si="7"/>
        <v>1</v>
      </c>
      <c r="J313" s="2" t="str">
        <f t="array" ref="J313">INDEX(lists!A:A,RANDBETWEEN(1,19))
</f>
        <v>Spiritual Workers</v>
      </c>
      <c r="K313" s="2" t="str">
        <f t="array" ref="K313">INDEX(lists!N:N,RANDBETWEEN(1,6))
</f>
        <v>Westbrook</v>
      </c>
      <c r="L313" s="2">
        <f t="shared" si="8"/>
        <v>5</v>
      </c>
      <c r="M313" s="2" t="str">
        <f t="array" ref="M313">INDEX(lists!O:O,RANDBETWEEN(1,2))
</f>
        <v>Pickup</v>
      </c>
      <c r="N313" s="2">
        <f t="shared" si="9"/>
        <v>5</v>
      </c>
    </row>
    <row r="314">
      <c r="A314" s="2">
        <f t="shared" si="1"/>
        <v>313</v>
      </c>
      <c r="B314" s="3">
        <f t="shared" si="2"/>
        <v>45737</v>
      </c>
      <c r="C314" s="3">
        <f t="shared" si="3"/>
        <v>45749</v>
      </c>
      <c r="D314" s="3" t="str">
        <f t="shared" si="4"/>
        <v>Completed</v>
      </c>
      <c r="E314" s="2">
        <f t="shared" si="5"/>
        <v>12</v>
      </c>
      <c r="F314" s="2" t="str">
        <f t="array" ref="F314">INDEX(lists!F:F,RANDBETWEEN(1,6))
</f>
        <v>Kitchen</v>
      </c>
      <c r="G314" s="2" t="str">
        <f t="array" ref="G314">IFS(
F314="Bedroom",INDEX(lists!G:G,RANDBETWEEN(1,4)),
F314="Living Room",INDEX(lists!H:H,RANDBETWEEN(1,4)),
F314="Dining",INDEX(lists!I:I,RANDBETWEEN(1,2)),
F314="Kitchen",INDEX(lists!J:J,RANDBETWEEN(1,4)),
F314="Office",INDEX(lists!K:K,RANDBETWEEN(1,3)),
F314="Household Essentials",INDEX(lists!L:L,RANDBETWEEN(1,3))
)
</f>
        <v>Microwave</v>
      </c>
      <c r="H314" s="2">
        <f t="shared" si="6"/>
        <v>2</v>
      </c>
      <c r="I314" s="2">
        <f t="shared" si="7"/>
        <v>1</v>
      </c>
      <c r="J314" s="2" t="str">
        <f t="array" ref="J314">INDEX(lists!A:A,RANDBETWEEN(1,19))
</f>
        <v>Saco &amp; Biddeford Savings</v>
      </c>
      <c r="K314" s="2" t="str">
        <f t="array" ref="K314">INDEX(lists!N:N,RANDBETWEEN(1,6))
</f>
        <v>Falmouth</v>
      </c>
      <c r="L314" s="2">
        <f t="shared" si="8"/>
        <v>3</v>
      </c>
      <c r="M314" s="2" t="str">
        <f t="array" ref="M314">INDEX(lists!O:O,RANDBETWEEN(1,2))
</f>
        <v>Delivery</v>
      </c>
      <c r="N314" s="2">
        <f t="shared" si="9"/>
        <v>3</v>
      </c>
    </row>
    <row r="315">
      <c r="A315" s="2">
        <f t="shared" si="1"/>
        <v>314</v>
      </c>
      <c r="B315" s="3">
        <f t="shared" si="2"/>
        <v>45687</v>
      </c>
      <c r="C315" s="3">
        <f t="shared" si="3"/>
        <v>45690</v>
      </c>
      <c r="D315" s="3" t="str">
        <f t="shared" si="4"/>
        <v>Completed</v>
      </c>
      <c r="E315" s="2">
        <f t="shared" si="5"/>
        <v>3</v>
      </c>
      <c r="F315" s="2" t="str">
        <f t="array" ref="F315">INDEX(lists!F:F,RANDBETWEEN(1,6))
</f>
        <v>Dining</v>
      </c>
      <c r="G315" s="2" t="str">
        <f t="array" ref="G315">IFS(
F315="Bedroom",INDEX(lists!G:G,RANDBETWEEN(1,4)),
F315="Living Room",INDEX(lists!H:H,RANDBETWEEN(1,4)),
F315="Dining",INDEX(lists!I:I,RANDBETWEEN(1,2)),
F315="Kitchen",INDEX(lists!J:J,RANDBETWEEN(1,4)),
F315="Office",INDEX(lists!K:K,RANDBETWEEN(1,3)),
F315="Household Essentials",INDEX(lists!L:L,RANDBETWEEN(1,3))
)
</f>
        <v>Dining Table</v>
      </c>
      <c r="H315" s="2">
        <f t="shared" si="6"/>
        <v>2</v>
      </c>
      <c r="I315" s="2">
        <f t="shared" si="7"/>
        <v>1</v>
      </c>
      <c r="J315" s="2" t="str">
        <f t="array" ref="J315">INDEX(lists!A:A,RANDBETWEEN(1,19))
</f>
        <v>Rowe Ford Westbrook</v>
      </c>
      <c r="K315" s="2" t="str">
        <f t="array" ref="K315">INDEX(lists!N:N,RANDBETWEEN(1,6))
</f>
        <v>Scarborough</v>
      </c>
      <c r="L315" s="2">
        <f t="shared" si="8"/>
        <v>1</v>
      </c>
      <c r="M315" s="2" t="str">
        <f t="array" ref="M315">INDEX(lists!O:O,RANDBETWEEN(1,2))
</f>
        <v>Delivery</v>
      </c>
      <c r="N315" s="2">
        <f t="shared" si="9"/>
        <v>6</v>
      </c>
    </row>
    <row r="316">
      <c r="A316" s="2">
        <f t="shared" si="1"/>
        <v>315</v>
      </c>
      <c r="B316" s="3">
        <f t="shared" si="2"/>
        <v>45567</v>
      </c>
      <c r="C316" s="3">
        <f t="shared" si="3"/>
        <v>45573</v>
      </c>
      <c r="D316" s="3" t="str">
        <f t="shared" si="4"/>
        <v>Completed</v>
      </c>
      <c r="E316" s="2">
        <f t="shared" si="5"/>
        <v>6</v>
      </c>
      <c r="F316" s="2" t="str">
        <f t="array" ref="F316">INDEX(lists!F:F,RANDBETWEEN(1,6))
</f>
        <v>Bedroom</v>
      </c>
      <c r="G316" s="2" t="str">
        <f t="array" ref="G316">IFS(
F316="Bedroom",INDEX(lists!G:G,RANDBETWEEN(1,4)),
F316="Living Room",INDEX(lists!H:H,RANDBETWEEN(1,4)),
F316="Dining",INDEX(lists!I:I,RANDBETWEEN(1,2)),
F316="Kitchen",INDEX(lists!J:J,RANDBETWEEN(1,4)),
F316="Office",INDEX(lists!K:K,RANDBETWEEN(1,3)),
F316="Household Essentials",INDEX(lists!L:L,RANDBETWEEN(1,3))
)
</f>
        <v>Nightstand</v>
      </c>
      <c r="H316" s="2">
        <f t="shared" si="6"/>
        <v>4</v>
      </c>
      <c r="I316" s="2">
        <f t="shared" si="7"/>
        <v>3</v>
      </c>
      <c r="J316" s="2" t="str">
        <f t="array" ref="J316">INDEX(lists!A:A,RANDBETWEEN(1,19))
</f>
        <v>Portland Harbor Group Raymond James</v>
      </c>
      <c r="K316" s="2" t="str">
        <f t="array" ref="K316">INDEX(lists!N:N,RANDBETWEEN(1,6))
</f>
        <v>South Portland</v>
      </c>
      <c r="L316" s="2">
        <f t="shared" si="8"/>
        <v>2</v>
      </c>
      <c r="M316" s="2" t="str">
        <f t="array" ref="M316">INDEX(lists!O:O,RANDBETWEEN(1,2))
</f>
        <v>Pickup</v>
      </c>
      <c r="N316" s="2">
        <f t="shared" si="9"/>
        <v>3</v>
      </c>
    </row>
    <row r="317">
      <c r="A317" s="2">
        <f t="shared" si="1"/>
        <v>316</v>
      </c>
      <c r="B317" s="3">
        <f t="shared" si="2"/>
        <v>45743</v>
      </c>
      <c r="C317" s="3">
        <f t="shared" si="3"/>
        <v>45753</v>
      </c>
      <c r="D317" s="3" t="str">
        <f t="shared" si="4"/>
        <v>Completed</v>
      </c>
      <c r="E317" s="2">
        <f t="shared" si="5"/>
        <v>10</v>
      </c>
      <c r="F317" s="2" t="str">
        <f t="array" ref="F317">INDEX(lists!F:F,RANDBETWEEN(1,6))
</f>
        <v>Bedroom</v>
      </c>
      <c r="G317" s="2" t="str">
        <f t="array" ref="G317">IFS(
F317="Bedroom",INDEX(lists!G:G,RANDBETWEEN(1,4)),
F317="Living Room",INDEX(lists!H:H,RANDBETWEEN(1,4)),
F317="Dining",INDEX(lists!I:I,RANDBETWEEN(1,2)),
F317="Kitchen",INDEX(lists!J:J,RANDBETWEEN(1,4)),
F317="Office",INDEX(lists!K:K,RANDBETWEEN(1,3)),
F317="Household Essentials",INDEX(lists!L:L,RANDBETWEEN(1,3))
)
</f>
        <v>Nightstand</v>
      </c>
      <c r="H317" s="2">
        <f t="shared" si="6"/>
        <v>3</v>
      </c>
      <c r="I317" s="2">
        <f t="shared" si="7"/>
        <v>1</v>
      </c>
      <c r="J317" s="2" t="str">
        <f t="array" ref="J317">INDEX(lists!A:A,RANDBETWEEN(1,19))
</f>
        <v>Maine Community Bank</v>
      </c>
      <c r="K317" s="2" t="str">
        <f t="array" ref="K317">INDEX(lists!N:N,RANDBETWEEN(1,6))
</f>
        <v>Falmouth</v>
      </c>
      <c r="L317" s="2">
        <f t="shared" si="8"/>
        <v>3</v>
      </c>
      <c r="M317" s="2" t="str">
        <f t="array" ref="M317">INDEX(lists!O:O,RANDBETWEEN(1,2))
</f>
        <v>Delivery</v>
      </c>
      <c r="N317" s="2">
        <f t="shared" si="9"/>
        <v>3</v>
      </c>
    </row>
    <row r="318">
      <c r="A318" s="2">
        <f t="shared" si="1"/>
        <v>317</v>
      </c>
      <c r="B318" s="3">
        <f t="shared" si="2"/>
        <v>45749</v>
      </c>
      <c r="C318" s="3">
        <f t="shared" si="3"/>
        <v>45756</v>
      </c>
      <c r="D318" s="3" t="str">
        <f t="shared" si="4"/>
        <v>Completed</v>
      </c>
      <c r="E318" s="2">
        <f t="shared" si="5"/>
        <v>7</v>
      </c>
      <c r="F318" s="2" t="str">
        <f t="array" ref="F318">INDEX(lists!F:F,RANDBETWEEN(1,6))
</f>
        <v>Office</v>
      </c>
      <c r="G318" s="2" t="str">
        <f t="array" ref="G318">IFS(
F318="Bedroom",INDEX(lists!G:G,RANDBETWEEN(1,4)),
F318="Living Room",INDEX(lists!H:H,RANDBETWEEN(1,4)),
F318="Dining",INDEX(lists!I:I,RANDBETWEEN(1,2)),
F318="Kitchen",INDEX(lists!J:J,RANDBETWEEN(1,4)),
F318="Office",INDEX(lists!K:K,RANDBETWEEN(1,3)),
F318="Household Essentials",INDEX(lists!L:L,RANDBETWEEN(1,3))
)
</f>
        <v>Bookshelf</v>
      </c>
      <c r="H318" s="2">
        <f t="shared" si="6"/>
        <v>2</v>
      </c>
      <c r="I318" s="2">
        <f t="shared" si="7"/>
        <v>2</v>
      </c>
      <c r="J318" s="2" t="str">
        <f t="array" ref="J318">INDEX(lists!A:A,RANDBETWEEN(1,19))
</f>
        <v>Jordan's Furniture</v>
      </c>
      <c r="K318" s="2" t="str">
        <f t="array" ref="K318">INDEX(lists!N:N,RANDBETWEEN(1,6))
</f>
        <v>Portland</v>
      </c>
      <c r="L318" s="2">
        <f t="shared" si="8"/>
        <v>4</v>
      </c>
      <c r="M318" s="2" t="str">
        <f t="array" ref="M318">INDEX(lists!O:O,RANDBETWEEN(1,2))
</f>
        <v>Pickup</v>
      </c>
      <c r="N318" s="2">
        <f t="shared" si="9"/>
        <v>6</v>
      </c>
    </row>
    <row r="319">
      <c r="A319" s="2">
        <f t="shared" si="1"/>
        <v>318</v>
      </c>
      <c r="B319" s="3">
        <f t="shared" si="2"/>
        <v>45347</v>
      </c>
      <c r="C319" s="3" t="str">
        <f t="shared" si="3"/>
        <v/>
      </c>
      <c r="D319" s="3" t="str">
        <f t="shared" si="4"/>
        <v>Cancelled</v>
      </c>
      <c r="E319" s="2" t="str">
        <f t="shared" si="5"/>
        <v/>
      </c>
      <c r="F319" s="2" t="str">
        <f t="array" ref="F319">INDEX(lists!F:F,RANDBETWEEN(1,6))
</f>
        <v>Kitchen</v>
      </c>
      <c r="G319" s="2" t="str">
        <f t="array" ref="G319">IFS(
F319="Bedroom",INDEX(lists!G:G,RANDBETWEEN(1,4)),
F319="Living Room",INDEX(lists!H:H,RANDBETWEEN(1,4)),
F319="Dining",INDEX(lists!I:I,RANDBETWEEN(1,2)),
F319="Kitchen",INDEX(lists!J:J,RANDBETWEEN(1,4)),
F319="Office",INDEX(lists!K:K,RANDBETWEEN(1,3)),
F319="Household Essentials",INDEX(lists!L:L,RANDBETWEEN(1,3))
)
</f>
        <v>Dishes</v>
      </c>
      <c r="H319" s="2">
        <f t="shared" si="6"/>
        <v>3</v>
      </c>
      <c r="I319" s="2" t="str">
        <f t="shared" si="7"/>
        <v/>
      </c>
      <c r="J319" s="2" t="str">
        <f t="array" ref="J319">INDEX(lists!A:A,RANDBETWEEN(1,19))
</f>
        <v>Maine Community Bank</v>
      </c>
      <c r="K319" s="2" t="str">
        <f t="array" ref="K319">INDEX(lists!N:N,RANDBETWEEN(1,6))
</f>
        <v>Scarborough</v>
      </c>
      <c r="L319" s="2">
        <f t="shared" si="8"/>
        <v>5</v>
      </c>
      <c r="M319" s="2" t="str">
        <f t="array" ref="M319">INDEX(lists!O:O,RANDBETWEEN(1,2))
</f>
        <v>Pickup</v>
      </c>
      <c r="N319" s="2">
        <f t="shared" si="9"/>
        <v>4</v>
      </c>
    </row>
    <row r="320">
      <c r="A320" s="2">
        <f t="shared" si="1"/>
        <v>319</v>
      </c>
      <c r="B320" s="3">
        <f t="shared" si="2"/>
        <v>45647</v>
      </c>
      <c r="C320" s="3" t="str">
        <f t="shared" si="3"/>
        <v/>
      </c>
      <c r="D320" s="3" t="str">
        <f t="shared" si="4"/>
        <v>Pending</v>
      </c>
      <c r="E320" s="2" t="str">
        <f t="shared" si="5"/>
        <v/>
      </c>
      <c r="F320" s="2" t="str">
        <f t="array" ref="F320">INDEX(lists!F:F,RANDBETWEEN(1,6))
</f>
        <v>Living Room</v>
      </c>
      <c r="G320" s="2" t="str">
        <f t="array" ref="G320">IFS(
F320="Bedroom",INDEX(lists!G:G,RANDBETWEEN(1,4)),
F320="Living Room",INDEX(lists!H:H,RANDBETWEEN(1,4)),
F320="Dining",INDEX(lists!I:I,RANDBETWEEN(1,2)),
F320="Kitchen",INDEX(lists!J:J,RANDBETWEEN(1,4)),
F320="Office",INDEX(lists!K:K,RANDBETWEEN(1,3)),
F320="Household Essentials",INDEX(lists!L:L,RANDBETWEEN(1,3))
)
</f>
        <v>Coffee Table</v>
      </c>
      <c r="H320" s="2">
        <f t="shared" si="6"/>
        <v>3</v>
      </c>
      <c r="I320" s="2" t="str">
        <f t="shared" si="7"/>
        <v/>
      </c>
      <c r="J320" s="2" t="str">
        <f t="array" ref="J320">INDEX(lists!A:A,RANDBETWEEN(1,19))
</f>
        <v>Portland Mattress Makers</v>
      </c>
      <c r="K320" s="2" t="str">
        <f t="array" ref="K320">INDEX(lists!N:N,RANDBETWEEN(1,6))
</f>
        <v>Portland</v>
      </c>
      <c r="L320" s="2">
        <f t="shared" si="8"/>
        <v>3</v>
      </c>
      <c r="M320" s="2" t="str">
        <f t="array" ref="M320">INDEX(lists!O:O,RANDBETWEEN(1,2))
</f>
        <v>Delivery</v>
      </c>
      <c r="N320" s="2">
        <f t="shared" si="9"/>
        <v>2</v>
      </c>
    </row>
    <row r="321">
      <c r="A321" s="2">
        <f t="shared" si="1"/>
        <v>320</v>
      </c>
      <c r="B321" s="3">
        <f t="shared" si="2"/>
        <v>45601</v>
      </c>
      <c r="C321" s="3">
        <f t="shared" si="3"/>
        <v>45640</v>
      </c>
      <c r="D321" s="3" t="str">
        <f t="shared" si="4"/>
        <v>Completed</v>
      </c>
      <c r="E321" s="2">
        <f t="shared" si="5"/>
        <v>39</v>
      </c>
      <c r="F321" s="2" t="str">
        <f t="array" ref="F321">INDEX(lists!F:F,RANDBETWEEN(1,6))
</f>
        <v>Office</v>
      </c>
      <c r="G321" s="2" t="str">
        <f t="array" ref="G321">IFS(
F321="Bedroom",INDEX(lists!G:G,RANDBETWEEN(1,4)),
F321="Living Room",INDEX(lists!H:H,RANDBETWEEN(1,4)),
F321="Dining",INDEX(lists!I:I,RANDBETWEEN(1,2)),
F321="Kitchen",INDEX(lists!J:J,RANDBETWEEN(1,4)),
F321="Office",INDEX(lists!K:K,RANDBETWEEN(1,3)),
F321="Household Essentials",INDEX(lists!L:L,RANDBETWEEN(1,3))
)
</f>
        <v>Desk</v>
      </c>
      <c r="H321" s="2">
        <f t="shared" si="6"/>
        <v>2</v>
      </c>
      <c r="I321" s="2">
        <f t="shared" si="7"/>
        <v>2</v>
      </c>
      <c r="J321" s="2" t="str">
        <f t="array" ref="J321">INDEX(lists!A:A,RANDBETWEEN(1,19))
</f>
        <v>Systems Engineering</v>
      </c>
      <c r="K321" s="2" t="str">
        <f t="array" ref="K321">INDEX(lists!N:N,RANDBETWEEN(1,6))
</f>
        <v>Portland</v>
      </c>
      <c r="L321" s="2">
        <f t="shared" si="8"/>
        <v>4</v>
      </c>
      <c r="M321" s="2" t="str">
        <f t="array" ref="M321">INDEX(lists!O:O,RANDBETWEEN(1,2))
</f>
        <v>Delivery</v>
      </c>
      <c r="N321" s="2">
        <f t="shared" si="9"/>
        <v>4</v>
      </c>
    </row>
    <row r="322">
      <c r="A322" s="2">
        <f t="shared" si="1"/>
        <v>321</v>
      </c>
      <c r="B322" s="3">
        <f t="shared" si="2"/>
        <v>45612</v>
      </c>
      <c r="C322" s="3" t="str">
        <f t="shared" si="3"/>
        <v/>
      </c>
      <c r="D322" s="3" t="str">
        <f t="shared" si="4"/>
        <v>Pending</v>
      </c>
      <c r="E322" s="2" t="str">
        <f t="shared" si="5"/>
        <v/>
      </c>
      <c r="F322" s="2" t="str">
        <f t="array" ref="F322">INDEX(lists!F:F,RANDBETWEEN(1,6))
</f>
        <v>Dining</v>
      </c>
      <c r="G322" s="2" t="str">
        <f t="array" ref="G322">IFS(
F322="Bedroom",INDEX(lists!G:G,RANDBETWEEN(1,4)),
F322="Living Room",INDEX(lists!H:H,RANDBETWEEN(1,4)),
F322="Dining",INDEX(lists!I:I,RANDBETWEEN(1,2)),
F322="Kitchen",INDEX(lists!J:J,RANDBETWEEN(1,4)),
F322="Office",INDEX(lists!K:K,RANDBETWEEN(1,3)),
F322="Household Essentials",INDEX(lists!L:L,RANDBETWEEN(1,3))
)
</f>
        <v>Dining Chair</v>
      </c>
      <c r="H322" s="2">
        <f t="shared" si="6"/>
        <v>3</v>
      </c>
      <c r="I322" s="2" t="str">
        <f t="shared" si="7"/>
        <v/>
      </c>
      <c r="J322" s="2" t="str">
        <f t="array" ref="J322">INDEX(lists!A:A,RANDBETWEEN(1,19))
</f>
        <v>Coffee By Design</v>
      </c>
      <c r="K322" s="2" t="str">
        <f t="array" ref="K322">INDEX(lists!N:N,RANDBETWEEN(1,6))
</f>
        <v>Biddeford</v>
      </c>
      <c r="L322" s="2">
        <f t="shared" si="8"/>
        <v>6</v>
      </c>
      <c r="M322" s="2" t="str">
        <f t="array" ref="M322">INDEX(lists!O:O,RANDBETWEEN(1,2))
</f>
        <v>Pickup</v>
      </c>
      <c r="N322" s="2">
        <f t="shared" si="9"/>
        <v>5</v>
      </c>
    </row>
    <row r="323">
      <c r="A323" s="2">
        <f t="shared" si="1"/>
        <v>322</v>
      </c>
      <c r="B323" s="3">
        <f t="shared" si="2"/>
        <v>45461</v>
      </c>
      <c r="C323" s="3">
        <f t="shared" si="3"/>
        <v>45489</v>
      </c>
      <c r="D323" s="3" t="str">
        <f t="shared" si="4"/>
        <v>Completed</v>
      </c>
      <c r="E323" s="2">
        <f t="shared" si="5"/>
        <v>28</v>
      </c>
      <c r="F323" s="2" t="str">
        <f t="array" ref="F323">INDEX(lists!F:F,RANDBETWEEN(1,6))
</f>
        <v>Living Room</v>
      </c>
      <c r="G323" s="2" t="str">
        <f t="array" ref="G323">IFS(
F323="Bedroom",INDEX(lists!G:G,RANDBETWEEN(1,4)),
F323="Living Room",INDEX(lists!H:H,RANDBETWEEN(1,4)),
F323="Dining",INDEX(lists!I:I,RANDBETWEEN(1,2)),
F323="Kitchen",INDEX(lists!J:J,RANDBETWEEN(1,4)),
F323="Office",INDEX(lists!K:K,RANDBETWEEN(1,3)),
F323="Household Essentials",INDEX(lists!L:L,RANDBETWEEN(1,3))
)
</f>
        <v>Coffee Table</v>
      </c>
      <c r="H323" s="2">
        <f t="shared" si="6"/>
        <v>1</v>
      </c>
      <c r="I323" s="2">
        <f t="shared" si="7"/>
        <v>1</v>
      </c>
      <c r="J323" s="2" t="str">
        <f t="array" ref="J323">INDEX(lists!A:A,RANDBETWEEN(1,19))
</f>
        <v>Developers Collaborative</v>
      </c>
      <c r="K323" s="2" t="str">
        <f t="array" ref="K323">INDEX(lists!N:N,RANDBETWEEN(1,6))
</f>
        <v>Falmouth</v>
      </c>
      <c r="L323" s="2">
        <f t="shared" si="8"/>
        <v>4</v>
      </c>
      <c r="M323" s="2" t="str">
        <f t="array" ref="M323">INDEX(lists!O:O,RANDBETWEEN(1,2))
</f>
        <v>Pickup</v>
      </c>
      <c r="N323" s="2">
        <f t="shared" si="9"/>
        <v>1</v>
      </c>
    </row>
    <row r="324">
      <c r="A324" s="2">
        <f t="shared" si="1"/>
        <v>323</v>
      </c>
      <c r="B324" s="3">
        <f t="shared" si="2"/>
        <v>45412</v>
      </c>
      <c r="C324" s="3" t="str">
        <f t="shared" si="3"/>
        <v/>
      </c>
      <c r="D324" s="3" t="str">
        <f t="shared" si="4"/>
        <v>Pending</v>
      </c>
      <c r="E324" s="2" t="str">
        <f t="shared" si="5"/>
        <v/>
      </c>
      <c r="F324" s="2" t="str">
        <f t="array" ref="F324">INDEX(lists!F:F,RANDBETWEEN(1,6))
</f>
        <v>Household Essentials</v>
      </c>
      <c r="G324" s="2" t="str">
        <f t="array" ref="G324">IFS(
F324="Bedroom",INDEX(lists!G:G,RANDBETWEEN(1,4)),
F324="Living Room",INDEX(lists!H:H,RANDBETWEEN(1,4)),
F324="Dining",INDEX(lists!I:I,RANDBETWEEN(1,2)),
F324="Kitchen",INDEX(lists!J:J,RANDBETWEEN(1,4)),
F324="Office",INDEX(lists!K:K,RANDBETWEEN(1,3)),
F324="Household Essentials",INDEX(lists!L:L,RANDBETWEEN(1,3))
)
</f>
        <v>Lamps</v>
      </c>
      <c r="H324" s="2">
        <f t="shared" si="6"/>
        <v>2</v>
      </c>
      <c r="I324" s="2" t="str">
        <f t="shared" si="7"/>
        <v/>
      </c>
      <c r="J324" s="2" t="str">
        <f t="array" ref="J324">INDEX(lists!A:A,RANDBETWEEN(1,19))
</f>
        <v>Diversified</v>
      </c>
      <c r="K324" s="2" t="str">
        <f t="array" ref="K324">INDEX(lists!N:N,RANDBETWEEN(1,6))
</f>
        <v>Biddeford</v>
      </c>
      <c r="L324" s="2">
        <f t="shared" si="8"/>
        <v>3</v>
      </c>
      <c r="M324" s="2" t="str">
        <f t="array" ref="M324">INDEX(lists!O:O,RANDBETWEEN(1,2))
</f>
        <v>Pickup</v>
      </c>
      <c r="N324" s="2">
        <f t="shared" si="9"/>
        <v>6</v>
      </c>
    </row>
    <row r="325">
      <c r="A325" s="2">
        <f t="shared" si="1"/>
        <v>324</v>
      </c>
      <c r="B325" s="3">
        <f t="shared" si="2"/>
        <v>45628</v>
      </c>
      <c r="C325" s="3">
        <f t="shared" si="3"/>
        <v>45633</v>
      </c>
      <c r="D325" s="3" t="str">
        <f t="shared" si="4"/>
        <v>Completed</v>
      </c>
      <c r="E325" s="2">
        <f t="shared" si="5"/>
        <v>5</v>
      </c>
      <c r="F325" s="2" t="str">
        <f t="array" ref="F325">INDEX(lists!F:F,RANDBETWEEN(1,6))
</f>
        <v>Kitchen</v>
      </c>
      <c r="G325" s="2" t="str">
        <f t="array" ref="G325">IFS(
F325="Bedroom",INDEX(lists!G:G,RANDBETWEEN(1,4)),
F325="Living Room",INDEX(lists!H:H,RANDBETWEEN(1,4)),
F325="Dining",INDEX(lists!I:I,RANDBETWEEN(1,2)),
F325="Kitchen",INDEX(lists!J:J,RANDBETWEEN(1,4)),
F325="Office",INDEX(lists!K:K,RANDBETWEEN(1,3)),
F325="Household Essentials",INDEX(lists!L:L,RANDBETWEEN(1,3))
)
</f>
        <v>Dishes</v>
      </c>
      <c r="H325" s="2">
        <f t="shared" si="6"/>
        <v>4</v>
      </c>
      <c r="I325" s="2">
        <f t="shared" si="7"/>
        <v>1</v>
      </c>
      <c r="J325" s="2" t="str">
        <f t="array" ref="J325">INDEX(lists!A:A,RANDBETWEEN(1,19))
</f>
        <v>Westbrook Housing</v>
      </c>
      <c r="K325" s="2" t="str">
        <f t="array" ref="K325">INDEX(lists!N:N,RANDBETWEEN(1,6))
</f>
        <v>Biddeford</v>
      </c>
      <c r="L325" s="2">
        <f t="shared" si="8"/>
        <v>2</v>
      </c>
      <c r="M325" s="2" t="str">
        <f t="array" ref="M325">INDEX(lists!O:O,RANDBETWEEN(1,2))
</f>
        <v>Pickup</v>
      </c>
      <c r="N325" s="2">
        <f t="shared" si="9"/>
        <v>2</v>
      </c>
    </row>
    <row r="326">
      <c r="A326" s="2">
        <f t="shared" si="1"/>
        <v>325</v>
      </c>
      <c r="B326" s="3">
        <f t="shared" si="2"/>
        <v>45599</v>
      </c>
      <c r="C326" s="3">
        <f t="shared" si="3"/>
        <v>45601</v>
      </c>
      <c r="D326" s="3" t="str">
        <f t="shared" si="4"/>
        <v>Completed</v>
      </c>
      <c r="E326" s="2">
        <f t="shared" si="5"/>
        <v>2</v>
      </c>
      <c r="F326" s="2" t="str">
        <f t="array" ref="F326">INDEX(lists!F:F,RANDBETWEEN(1,6))
</f>
        <v>Office</v>
      </c>
      <c r="G326" s="2" t="str">
        <f t="array" ref="G326">IFS(
F326="Bedroom",INDEX(lists!G:G,RANDBETWEEN(1,4)),
F326="Living Room",INDEX(lists!H:H,RANDBETWEEN(1,4)),
F326="Dining",INDEX(lists!I:I,RANDBETWEEN(1,2)),
F326="Kitchen",INDEX(lists!J:J,RANDBETWEEN(1,4)),
F326="Office",INDEX(lists!K:K,RANDBETWEEN(1,3)),
F326="Household Essentials",INDEX(lists!L:L,RANDBETWEEN(1,3))
)
</f>
        <v>Office Chair</v>
      </c>
      <c r="H326" s="2">
        <f t="shared" si="6"/>
        <v>1</v>
      </c>
      <c r="I326" s="2">
        <f t="shared" si="7"/>
        <v>1</v>
      </c>
      <c r="J326" s="2" t="str">
        <f t="array" ref="J326">INDEX(lists!A:A,RANDBETWEEN(1,19))
</f>
        <v>J.B Brown and Sons</v>
      </c>
      <c r="K326" s="2" t="str">
        <f t="array" ref="K326">INDEX(lists!N:N,RANDBETWEEN(1,6))
</f>
        <v>Scarborough</v>
      </c>
      <c r="L326" s="2">
        <f t="shared" si="8"/>
        <v>2</v>
      </c>
      <c r="M326" s="2" t="str">
        <f t="array" ref="M326">INDEX(lists!O:O,RANDBETWEEN(1,2))
</f>
        <v>Pickup</v>
      </c>
      <c r="N326" s="2">
        <f t="shared" si="9"/>
        <v>4</v>
      </c>
    </row>
    <row r="327">
      <c r="A327" s="2">
        <f t="shared" si="1"/>
        <v>326</v>
      </c>
      <c r="B327" s="3">
        <f t="shared" si="2"/>
        <v>45736</v>
      </c>
      <c r="C327" s="3">
        <f t="shared" si="3"/>
        <v>45739</v>
      </c>
      <c r="D327" s="3" t="str">
        <f t="shared" si="4"/>
        <v>Completed</v>
      </c>
      <c r="E327" s="2">
        <f t="shared" si="5"/>
        <v>3</v>
      </c>
      <c r="F327" s="2" t="str">
        <f t="array" ref="F327">INDEX(lists!F:F,RANDBETWEEN(1,6))
</f>
        <v>Household Essentials</v>
      </c>
      <c r="G327" s="2" t="str">
        <f t="array" ref="G327">IFS(
F327="Bedroom",INDEX(lists!G:G,RANDBETWEEN(1,4)),
F327="Living Room",INDEX(lists!H:H,RANDBETWEEN(1,4)),
F327="Dining",INDEX(lists!I:I,RANDBETWEEN(1,2)),
F327="Kitchen",INDEX(lists!J:J,RANDBETWEEN(1,4)),
F327="Office",INDEX(lists!K:K,RANDBETWEEN(1,3)),
F327="Household Essentials",INDEX(lists!L:L,RANDBETWEEN(1,3))
)
</f>
        <v>Lamps</v>
      </c>
      <c r="H327" s="2">
        <f t="shared" si="6"/>
        <v>1</v>
      </c>
      <c r="I327" s="2">
        <f t="shared" si="7"/>
        <v>1</v>
      </c>
      <c r="J327" s="2" t="str">
        <f t="array" ref="J327">INDEX(lists!A:A,RANDBETWEEN(1,19))
</f>
        <v>Systems Engineering</v>
      </c>
      <c r="K327" s="2" t="str">
        <f t="array" ref="K327">INDEX(lists!N:N,RANDBETWEEN(1,6))
</f>
        <v>Westbrook</v>
      </c>
      <c r="L327" s="2">
        <f t="shared" si="8"/>
        <v>5</v>
      </c>
      <c r="M327" s="2" t="str">
        <f t="array" ref="M327">INDEX(lists!O:O,RANDBETWEEN(1,2))
</f>
        <v>Pickup</v>
      </c>
      <c r="N327" s="2">
        <f t="shared" si="9"/>
        <v>5</v>
      </c>
    </row>
    <row r="328">
      <c r="A328" s="2">
        <f t="shared" si="1"/>
        <v>327</v>
      </c>
      <c r="B328" s="3">
        <f t="shared" si="2"/>
        <v>45713</v>
      </c>
      <c r="C328" s="3">
        <f t="shared" si="3"/>
        <v>45722</v>
      </c>
      <c r="D328" s="3" t="str">
        <f t="shared" si="4"/>
        <v>Completed</v>
      </c>
      <c r="E328" s="2">
        <f t="shared" si="5"/>
        <v>9</v>
      </c>
      <c r="F328" s="2" t="str">
        <f t="array" ref="F328">INDEX(lists!F:F,RANDBETWEEN(1,6))
</f>
        <v>Bedroom</v>
      </c>
      <c r="G328" s="2" t="str">
        <f t="array" ref="G328">IFS(
F328="Bedroom",INDEX(lists!G:G,RANDBETWEEN(1,4)),
F328="Living Room",INDEX(lists!H:H,RANDBETWEEN(1,4)),
F328="Dining",INDEX(lists!I:I,RANDBETWEEN(1,2)),
F328="Kitchen",INDEX(lists!J:J,RANDBETWEEN(1,4)),
F328="Office",INDEX(lists!K:K,RANDBETWEEN(1,3)),
F328="Household Essentials",INDEX(lists!L:L,RANDBETWEEN(1,3))
)
</f>
        <v>Nightstand</v>
      </c>
      <c r="H328" s="2">
        <f t="shared" si="6"/>
        <v>1</v>
      </c>
      <c r="I328" s="2">
        <f t="shared" si="7"/>
        <v>1</v>
      </c>
      <c r="J328" s="2" t="str">
        <f t="array" ref="J328">INDEX(lists!A:A,RANDBETWEEN(1,19))
</f>
        <v>Center for Real Estate Studies</v>
      </c>
      <c r="K328" s="2" t="str">
        <f t="array" ref="K328">INDEX(lists!N:N,RANDBETWEEN(1,6))
</f>
        <v>Portland</v>
      </c>
      <c r="L328" s="2">
        <f t="shared" si="8"/>
        <v>4</v>
      </c>
      <c r="M328" s="2" t="str">
        <f t="array" ref="M328">INDEX(lists!O:O,RANDBETWEEN(1,2))
</f>
        <v>Pickup</v>
      </c>
      <c r="N328" s="2">
        <f t="shared" si="9"/>
        <v>4</v>
      </c>
    </row>
    <row r="329">
      <c r="A329" s="2">
        <f t="shared" si="1"/>
        <v>328</v>
      </c>
      <c r="B329" s="3">
        <f t="shared" si="2"/>
        <v>45399</v>
      </c>
      <c r="C329" s="3">
        <f t="shared" si="3"/>
        <v>45435</v>
      </c>
      <c r="D329" s="3" t="str">
        <f t="shared" si="4"/>
        <v>Completed</v>
      </c>
      <c r="E329" s="2">
        <f t="shared" si="5"/>
        <v>36</v>
      </c>
      <c r="F329" s="2" t="str">
        <f t="array" ref="F329">INDEX(lists!F:F,RANDBETWEEN(1,6))
</f>
        <v>Bedroom</v>
      </c>
      <c r="G329" s="2" t="str">
        <f t="array" ref="G329">IFS(
F329="Bedroom",INDEX(lists!G:G,RANDBETWEEN(1,4)),
F329="Living Room",INDEX(lists!H:H,RANDBETWEEN(1,4)),
F329="Dining",INDEX(lists!I:I,RANDBETWEEN(1,2)),
F329="Kitchen",INDEX(lists!J:J,RANDBETWEEN(1,4)),
F329="Office",INDEX(lists!K:K,RANDBETWEEN(1,3)),
F329="Household Essentials",INDEX(lists!L:L,RANDBETWEEN(1,3))
)
</f>
        <v>Bed Frame</v>
      </c>
      <c r="H329" s="2">
        <f t="shared" si="6"/>
        <v>1</v>
      </c>
      <c r="I329" s="2">
        <f t="shared" si="7"/>
        <v>1</v>
      </c>
      <c r="J329" s="2" t="str">
        <f t="array" ref="J329">INDEX(lists!A:A,RANDBETWEEN(1,19))
</f>
        <v>Keybank</v>
      </c>
      <c r="K329" s="2" t="str">
        <f t="array" ref="K329">INDEX(lists!N:N,RANDBETWEEN(1,6))
</f>
        <v>Portland</v>
      </c>
      <c r="L329" s="2">
        <f t="shared" si="8"/>
        <v>2</v>
      </c>
      <c r="M329" s="2" t="str">
        <f t="array" ref="M329">INDEX(lists!O:O,RANDBETWEEN(1,2))
</f>
        <v>Delivery</v>
      </c>
      <c r="N329" s="2">
        <f t="shared" si="9"/>
        <v>3</v>
      </c>
    </row>
    <row r="330">
      <c r="A330" s="2">
        <f t="shared" si="1"/>
        <v>329</v>
      </c>
      <c r="B330" s="3">
        <f t="shared" si="2"/>
        <v>45632</v>
      </c>
      <c r="C330" s="3">
        <f t="shared" si="3"/>
        <v>45635</v>
      </c>
      <c r="D330" s="3" t="str">
        <f t="shared" si="4"/>
        <v>Completed</v>
      </c>
      <c r="E330" s="2">
        <f t="shared" si="5"/>
        <v>3</v>
      </c>
      <c r="F330" s="2" t="str">
        <f t="array" ref="F330">INDEX(lists!F:F,RANDBETWEEN(1,6))
</f>
        <v>Bedroom</v>
      </c>
      <c r="G330" s="2" t="str">
        <f t="array" ref="G330">IFS(
F330="Bedroom",INDEX(lists!G:G,RANDBETWEEN(1,4)),
F330="Living Room",INDEX(lists!H:H,RANDBETWEEN(1,4)),
F330="Dining",INDEX(lists!I:I,RANDBETWEEN(1,2)),
F330="Kitchen",INDEX(lists!J:J,RANDBETWEEN(1,4)),
F330="Office",INDEX(lists!K:K,RANDBETWEEN(1,3)),
F330="Household Essentials",INDEX(lists!L:L,RANDBETWEEN(1,3))
)
</f>
        <v>Bed Frame</v>
      </c>
      <c r="H330" s="2">
        <f t="shared" si="6"/>
        <v>2</v>
      </c>
      <c r="I330" s="2">
        <f t="shared" si="7"/>
        <v>1</v>
      </c>
      <c r="J330" s="2" t="str">
        <f t="array" ref="J330">INDEX(lists!A:A,RANDBETWEEN(1,19))
</f>
        <v>Maine Community Bank</v>
      </c>
      <c r="K330" s="2" t="str">
        <f t="array" ref="K330">INDEX(lists!N:N,RANDBETWEEN(1,6))
</f>
        <v>Portland</v>
      </c>
      <c r="L330" s="2">
        <f t="shared" si="8"/>
        <v>3</v>
      </c>
      <c r="M330" s="2" t="str">
        <f t="array" ref="M330">INDEX(lists!O:O,RANDBETWEEN(1,2))
</f>
        <v>Delivery</v>
      </c>
      <c r="N330" s="2">
        <f t="shared" si="9"/>
        <v>6</v>
      </c>
    </row>
    <row r="331">
      <c r="A331" s="2">
        <f t="shared" si="1"/>
        <v>330</v>
      </c>
      <c r="B331" s="3">
        <f t="shared" si="2"/>
        <v>45553</v>
      </c>
      <c r="C331" s="3">
        <f t="shared" si="3"/>
        <v>45564</v>
      </c>
      <c r="D331" s="3" t="str">
        <f t="shared" si="4"/>
        <v>Completed</v>
      </c>
      <c r="E331" s="2">
        <f t="shared" si="5"/>
        <v>11</v>
      </c>
      <c r="F331" s="2" t="str">
        <f t="array" ref="F331">INDEX(lists!F:F,RANDBETWEEN(1,6))
</f>
        <v>Household Essentials</v>
      </c>
      <c r="G331" s="2" t="str">
        <f t="array" ref="G331">IFS(
F331="Bedroom",INDEX(lists!G:G,RANDBETWEEN(1,4)),
F331="Living Room",INDEX(lists!H:H,RANDBETWEEN(1,4)),
F331="Dining",INDEX(lists!I:I,RANDBETWEEN(1,2)),
F331="Kitchen",INDEX(lists!J:J,RANDBETWEEN(1,4)),
F331="Office",INDEX(lists!K:K,RANDBETWEEN(1,3)),
F331="Household Essentials",INDEX(lists!L:L,RANDBETWEEN(1,3))
)
</f>
        <v>Rugs</v>
      </c>
      <c r="H331" s="2">
        <f t="shared" si="6"/>
        <v>4</v>
      </c>
      <c r="I331" s="2">
        <f t="shared" si="7"/>
        <v>4</v>
      </c>
      <c r="J331" s="2" t="str">
        <f t="array" ref="J331">INDEX(lists!A:A,RANDBETWEEN(1,19))
</f>
        <v>Spiritual Workers</v>
      </c>
      <c r="K331" s="2" t="str">
        <f t="array" ref="K331">INDEX(lists!N:N,RANDBETWEEN(1,6))
</f>
        <v>Scarborough</v>
      </c>
      <c r="L331" s="2">
        <f t="shared" si="8"/>
        <v>2</v>
      </c>
      <c r="M331" s="2" t="str">
        <f t="array" ref="M331">INDEX(lists!O:O,RANDBETWEEN(1,2))
</f>
        <v>Delivery</v>
      </c>
      <c r="N331" s="2">
        <f t="shared" si="9"/>
        <v>4</v>
      </c>
    </row>
    <row r="332">
      <c r="A332" s="2">
        <f t="shared" si="1"/>
        <v>331</v>
      </c>
      <c r="B332" s="3">
        <f t="shared" si="2"/>
        <v>45703</v>
      </c>
      <c r="C332" s="3" t="str">
        <f t="shared" si="3"/>
        <v/>
      </c>
      <c r="D332" s="3" t="str">
        <f t="shared" si="4"/>
        <v>Pending</v>
      </c>
      <c r="E332" s="2" t="str">
        <f t="shared" si="5"/>
        <v/>
      </c>
      <c r="F332" s="2" t="str">
        <f t="array" ref="F332">INDEX(lists!F:F,RANDBETWEEN(1,6))
</f>
        <v>Household Essentials</v>
      </c>
      <c r="G332" s="2" t="str">
        <f t="array" ref="G332">IFS(
F332="Bedroom",INDEX(lists!G:G,RANDBETWEEN(1,4)),
F332="Living Room",INDEX(lists!H:H,RANDBETWEEN(1,4)),
F332="Dining",INDEX(lists!I:I,RANDBETWEEN(1,2)),
F332="Kitchen",INDEX(lists!J:J,RANDBETWEEN(1,4)),
F332="Office",INDEX(lists!K:K,RANDBETWEEN(1,3)),
F332="Household Essentials",INDEX(lists!L:L,RANDBETWEEN(1,3))
)
</f>
        <v>Lamps</v>
      </c>
      <c r="H332" s="2">
        <f t="shared" si="6"/>
        <v>4</v>
      </c>
      <c r="I332" s="2" t="str">
        <f t="shared" si="7"/>
        <v/>
      </c>
      <c r="J332" s="2" t="str">
        <f t="array" ref="J332">INDEX(lists!A:A,RANDBETWEEN(1,19))
</f>
        <v>Coffee By Design</v>
      </c>
      <c r="K332" s="2" t="str">
        <f t="array" ref="K332">INDEX(lists!N:N,RANDBETWEEN(1,6))
</f>
        <v>Portland</v>
      </c>
      <c r="L332" s="2">
        <f t="shared" si="8"/>
        <v>1</v>
      </c>
      <c r="M332" s="2" t="str">
        <f t="array" ref="M332">INDEX(lists!O:O,RANDBETWEEN(1,2))
</f>
        <v>Pickup</v>
      </c>
      <c r="N332" s="2">
        <f t="shared" si="9"/>
        <v>5</v>
      </c>
    </row>
    <row r="333">
      <c r="A333" s="2">
        <f t="shared" si="1"/>
        <v>332</v>
      </c>
      <c r="B333" s="3">
        <f t="shared" si="2"/>
        <v>45364</v>
      </c>
      <c r="C333" s="3">
        <f t="shared" si="3"/>
        <v>45373</v>
      </c>
      <c r="D333" s="3" t="str">
        <f t="shared" si="4"/>
        <v>Completed</v>
      </c>
      <c r="E333" s="2">
        <f t="shared" si="5"/>
        <v>9</v>
      </c>
      <c r="F333" s="2" t="str">
        <f t="array" ref="F333">INDEX(lists!F:F,RANDBETWEEN(1,6))
</f>
        <v>Living Room</v>
      </c>
      <c r="G333" s="2" t="str">
        <f t="array" ref="G333">IFS(
F333="Bedroom",INDEX(lists!G:G,RANDBETWEEN(1,4)),
F333="Living Room",INDEX(lists!H:H,RANDBETWEEN(1,4)),
F333="Dining",INDEX(lists!I:I,RANDBETWEEN(1,2)),
F333="Kitchen",INDEX(lists!J:J,RANDBETWEEN(1,4)),
F333="Office",INDEX(lists!K:K,RANDBETWEEN(1,3)),
F333="Household Essentials",INDEX(lists!L:L,RANDBETWEEN(1,3))
)
</f>
        <v>Sofa</v>
      </c>
      <c r="H333" s="2">
        <f t="shared" si="6"/>
        <v>3</v>
      </c>
      <c r="I333" s="2">
        <f t="shared" si="7"/>
        <v>2</v>
      </c>
      <c r="J333" s="2" t="str">
        <f t="array" ref="J333">INDEX(lists!A:A,RANDBETWEEN(1,19))
</f>
        <v>Coffee By Design</v>
      </c>
      <c r="K333" s="2" t="str">
        <f t="array" ref="K333">INDEX(lists!N:N,RANDBETWEEN(1,6))
</f>
        <v>Biddeford</v>
      </c>
      <c r="L333" s="2">
        <f t="shared" si="8"/>
        <v>2</v>
      </c>
      <c r="M333" s="2" t="str">
        <f t="array" ref="M333">INDEX(lists!O:O,RANDBETWEEN(1,2))
</f>
        <v>Delivery</v>
      </c>
      <c r="N333" s="2">
        <f t="shared" si="9"/>
        <v>1</v>
      </c>
    </row>
    <row r="334">
      <c r="A334" s="2">
        <f t="shared" si="1"/>
        <v>333</v>
      </c>
      <c r="B334" s="3">
        <f t="shared" si="2"/>
        <v>45673</v>
      </c>
      <c r="C334" s="3">
        <f t="shared" si="3"/>
        <v>45694</v>
      </c>
      <c r="D334" s="3" t="str">
        <f t="shared" si="4"/>
        <v>Completed</v>
      </c>
      <c r="E334" s="2">
        <f t="shared" si="5"/>
        <v>21</v>
      </c>
      <c r="F334" s="2" t="str">
        <f t="array" ref="F334">INDEX(lists!F:F,RANDBETWEEN(1,6))
</f>
        <v>Household Essentials</v>
      </c>
      <c r="G334" s="2" t="str">
        <f t="array" ref="G334">IFS(
F334="Bedroom",INDEX(lists!G:G,RANDBETWEEN(1,4)),
F334="Living Room",INDEX(lists!H:H,RANDBETWEEN(1,4)),
F334="Dining",INDEX(lists!I:I,RANDBETWEEN(1,2)),
F334="Kitchen",INDEX(lists!J:J,RANDBETWEEN(1,4)),
F334="Office",INDEX(lists!K:K,RANDBETWEEN(1,3)),
F334="Household Essentials",INDEX(lists!L:L,RANDBETWEEN(1,3))
)
</f>
        <v>Lamps</v>
      </c>
      <c r="H334" s="2">
        <f t="shared" si="6"/>
        <v>2</v>
      </c>
      <c r="I334" s="2">
        <f t="shared" si="7"/>
        <v>1</v>
      </c>
      <c r="J334" s="2" t="str">
        <f t="array" ref="J334">INDEX(lists!A:A,RANDBETWEEN(1,19))
</f>
        <v>Maine Community Bank</v>
      </c>
      <c r="K334" s="2" t="str">
        <f t="array" ref="K334">INDEX(lists!N:N,RANDBETWEEN(1,6))
</f>
        <v>Portland</v>
      </c>
      <c r="L334" s="2">
        <f t="shared" si="8"/>
        <v>4</v>
      </c>
      <c r="M334" s="2" t="str">
        <f t="array" ref="M334">INDEX(lists!O:O,RANDBETWEEN(1,2))
</f>
        <v>Delivery</v>
      </c>
      <c r="N334" s="2">
        <f t="shared" si="9"/>
        <v>4</v>
      </c>
    </row>
    <row r="335">
      <c r="A335" s="2">
        <f t="shared" si="1"/>
        <v>334</v>
      </c>
      <c r="B335" s="3">
        <f t="shared" si="2"/>
        <v>45465</v>
      </c>
      <c r="C335" s="3">
        <f t="shared" si="3"/>
        <v>45468</v>
      </c>
      <c r="D335" s="3" t="str">
        <f t="shared" si="4"/>
        <v>Completed</v>
      </c>
      <c r="E335" s="2">
        <f t="shared" si="5"/>
        <v>3</v>
      </c>
      <c r="F335" s="2" t="str">
        <f t="array" ref="F335">INDEX(lists!F:F,RANDBETWEEN(1,6))
</f>
        <v>Bedroom</v>
      </c>
      <c r="G335" s="2" t="str">
        <f t="array" ref="G335">IFS(
F335="Bedroom",INDEX(lists!G:G,RANDBETWEEN(1,4)),
F335="Living Room",INDEX(lists!H:H,RANDBETWEEN(1,4)),
F335="Dining",INDEX(lists!I:I,RANDBETWEEN(1,2)),
F335="Kitchen",INDEX(lists!J:J,RANDBETWEEN(1,4)),
F335="Office",INDEX(lists!K:K,RANDBETWEEN(1,3)),
F335="Household Essentials",INDEX(lists!L:L,RANDBETWEEN(1,3))
)
</f>
        <v>Mattress</v>
      </c>
      <c r="H335" s="2">
        <f t="shared" si="6"/>
        <v>2</v>
      </c>
      <c r="I335" s="2">
        <f t="shared" si="7"/>
        <v>1</v>
      </c>
      <c r="J335" s="2" t="str">
        <f t="array" ref="J335">INDEX(lists!A:A,RANDBETWEEN(1,19))
</f>
        <v>Westbrook Housing</v>
      </c>
      <c r="K335" s="2" t="str">
        <f t="array" ref="K335">INDEX(lists!N:N,RANDBETWEEN(1,6))
</f>
        <v>Falmouth</v>
      </c>
      <c r="L335" s="2">
        <f t="shared" si="8"/>
        <v>4</v>
      </c>
      <c r="M335" s="2" t="str">
        <f t="array" ref="M335">INDEX(lists!O:O,RANDBETWEEN(1,2))
</f>
        <v>Pickup</v>
      </c>
      <c r="N335" s="2">
        <f t="shared" si="9"/>
        <v>2</v>
      </c>
    </row>
    <row r="336">
      <c r="A336" s="2">
        <f t="shared" si="1"/>
        <v>335</v>
      </c>
      <c r="B336" s="3">
        <f t="shared" si="2"/>
        <v>45720</v>
      </c>
      <c r="C336" s="3">
        <f t="shared" si="3"/>
        <v>45724</v>
      </c>
      <c r="D336" s="3" t="str">
        <f t="shared" si="4"/>
        <v>Completed</v>
      </c>
      <c r="E336" s="2">
        <f t="shared" si="5"/>
        <v>4</v>
      </c>
      <c r="F336" s="2" t="str">
        <f t="array" ref="F336">INDEX(lists!F:F,RANDBETWEEN(1,6))
</f>
        <v>Office</v>
      </c>
      <c r="G336" s="2" t="str">
        <f t="array" ref="G336">IFS(
F336="Bedroom",INDEX(lists!G:G,RANDBETWEEN(1,4)),
F336="Living Room",INDEX(lists!H:H,RANDBETWEEN(1,4)),
F336="Dining",INDEX(lists!I:I,RANDBETWEEN(1,2)),
F336="Kitchen",INDEX(lists!J:J,RANDBETWEEN(1,4)),
F336="Office",INDEX(lists!K:K,RANDBETWEEN(1,3)),
F336="Household Essentials",INDEX(lists!L:L,RANDBETWEEN(1,3))
)
</f>
        <v>Bookshelf</v>
      </c>
      <c r="H336" s="2">
        <f t="shared" si="6"/>
        <v>1</v>
      </c>
      <c r="I336" s="2">
        <f t="shared" si="7"/>
        <v>1</v>
      </c>
      <c r="J336" s="2" t="str">
        <f t="array" ref="J336">INDEX(lists!A:A,RANDBETWEEN(1,19))
</f>
        <v>Developers Collaborative</v>
      </c>
      <c r="K336" s="2" t="str">
        <f t="array" ref="K336">INDEX(lists!N:N,RANDBETWEEN(1,6))
</f>
        <v>Westbrook</v>
      </c>
      <c r="L336" s="2">
        <f t="shared" si="8"/>
        <v>4</v>
      </c>
      <c r="M336" s="2" t="str">
        <f t="array" ref="M336">INDEX(lists!O:O,RANDBETWEEN(1,2))
</f>
        <v>Pickup</v>
      </c>
      <c r="N336" s="2">
        <f t="shared" si="9"/>
        <v>4</v>
      </c>
    </row>
    <row r="337">
      <c r="A337" s="2">
        <f t="shared" si="1"/>
        <v>336</v>
      </c>
      <c r="B337" s="3">
        <f t="shared" si="2"/>
        <v>45326</v>
      </c>
      <c r="C337" s="3">
        <f t="shared" si="3"/>
        <v>45330</v>
      </c>
      <c r="D337" s="3" t="str">
        <f t="shared" si="4"/>
        <v>Completed</v>
      </c>
      <c r="E337" s="2">
        <f t="shared" si="5"/>
        <v>4</v>
      </c>
      <c r="F337" s="2" t="str">
        <f t="array" ref="F337">INDEX(lists!F:F,RANDBETWEEN(1,6))
</f>
        <v>Office</v>
      </c>
      <c r="G337" s="2" t="str">
        <f t="array" ref="G337">IFS(
F337="Bedroom",INDEX(lists!G:G,RANDBETWEEN(1,4)),
F337="Living Room",INDEX(lists!H:H,RANDBETWEEN(1,4)),
F337="Dining",INDEX(lists!I:I,RANDBETWEEN(1,2)),
F337="Kitchen",INDEX(lists!J:J,RANDBETWEEN(1,4)),
F337="Office",INDEX(lists!K:K,RANDBETWEEN(1,3)),
F337="Household Essentials",INDEX(lists!L:L,RANDBETWEEN(1,3))
)
</f>
        <v>Desk</v>
      </c>
      <c r="H337" s="2">
        <f t="shared" si="6"/>
        <v>1</v>
      </c>
      <c r="I337" s="2">
        <f t="shared" si="7"/>
        <v>1</v>
      </c>
      <c r="J337" s="2" t="str">
        <f t="array" ref="J337">INDEX(lists!A:A,RANDBETWEEN(1,19))
</f>
        <v>Coffee By Design</v>
      </c>
      <c r="K337" s="2" t="str">
        <f t="array" ref="K337">INDEX(lists!N:N,RANDBETWEEN(1,6))
</f>
        <v>Falmouth</v>
      </c>
      <c r="L337" s="2">
        <f t="shared" si="8"/>
        <v>1</v>
      </c>
      <c r="M337" s="2" t="str">
        <f t="array" ref="M337">INDEX(lists!O:O,RANDBETWEEN(1,2))
</f>
        <v>Delivery</v>
      </c>
      <c r="N337" s="2">
        <f t="shared" si="9"/>
        <v>4</v>
      </c>
    </row>
    <row r="338">
      <c r="A338" s="2">
        <f t="shared" si="1"/>
        <v>337</v>
      </c>
      <c r="B338" s="3">
        <f t="shared" si="2"/>
        <v>45439</v>
      </c>
      <c r="C338" s="3">
        <f t="shared" si="3"/>
        <v>45445</v>
      </c>
      <c r="D338" s="3" t="str">
        <f t="shared" si="4"/>
        <v>Completed</v>
      </c>
      <c r="E338" s="2">
        <f t="shared" si="5"/>
        <v>6</v>
      </c>
      <c r="F338" s="2" t="str">
        <f t="array" ref="F338">INDEX(lists!F:F,RANDBETWEEN(1,6))
</f>
        <v>Kitchen</v>
      </c>
      <c r="G338" s="2" t="str">
        <f t="array" ref="G338">IFS(
F338="Bedroom",INDEX(lists!G:G,RANDBETWEEN(1,4)),
F338="Living Room",INDEX(lists!H:H,RANDBETWEEN(1,4)),
F338="Dining",INDEX(lists!I:I,RANDBETWEEN(1,2)),
F338="Kitchen",INDEX(lists!J:J,RANDBETWEEN(1,4)),
F338="Office",INDEX(lists!K:K,RANDBETWEEN(1,3)),
F338="Household Essentials",INDEX(lists!L:L,RANDBETWEEN(1,3))
)
</f>
        <v>Pots &amp; Pans</v>
      </c>
      <c r="H338" s="2">
        <f t="shared" si="6"/>
        <v>2</v>
      </c>
      <c r="I338" s="2">
        <f t="shared" si="7"/>
        <v>1</v>
      </c>
      <c r="J338" s="2" t="str">
        <f t="array" ref="J338">INDEX(lists!A:A,RANDBETWEEN(1,19))
</f>
        <v>Diversified</v>
      </c>
      <c r="K338" s="2" t="str">
        <f t="array" ref="K338">INDEX(lists!N:N,RANDBETWEEN(1,6))
</f>
        <v>Biddeford</v>
      </c>
      <c r="L338" s="2">
        <f t="shared" si="8"/>
        <v>6</v>
      </c>
      <c r="M338" s="2" t="str">
        <f t="array" ref="M338">INDEX(lists!O:O,RANDBETWEEN(1,2))
</f>
        <v>Pickup</v>
      </c>
      <c r="N338" s="2">
        <f t="shared" si="9"/>
        <v>1</v>
      </c>
    </row>
    <row r="339">
      <c r="A339" s="2">
        <f t="shared" si="1"/>
        <v>338</v>
      </c>
      <c r="B339" s="3">
        <f t="shared" si="2"/>
        <v>45299</v>
      </c>
      <c r="C339" s="3">
        <f t="shared" si="3"/>
        <v>45325</v>
      </c>
      <c r="D339" s="3" t="str">
        <f t="shared" si="4"/>
        <v>Completed</v>
      </c>
      <c r="E339" s="2">
        <f t="shared" si="5"/>
        <v>26</v>
      </c>
      <c r="F339" s="2" t="str">
        <f t="array" ref="F339">INDEX(lists!F:F,RANDBETWEEN(1,6))
</f>
        <v>Kitchen</v>
      </c>
      <c r="G339" s="2" t="str">
        <f t="array" ref="G339">IFS(
F339="Bedroom",INDEX(lists!G:G,RANDBETWEEN(1,4)),
F339="Living Room",INDEX(lists!H:H,RANDBETWEEN(1,4)),
F339="Dining",INDEX(lists!I:I,RANDBETWEEN(1,2)),
F339="Kitchen",INDEX(lists!J:J,RANDBETWEEN(1,4)),
F339="Office",INDEX(lists!K:K,RANDBETWEEN(1,3)),
F339="Household Essentials",INDEX(lists!L:L,RANDBETWEEN(1,3))
)
</f>
        <v>Small Appliances</v>
      </c>
      <c r="H339" s="2">
        <f t="shared" si="6"/>
        <v>4</v>
      </c>
      <c r="I339" s="2">
        <f t="shared" si="7"/>
        <v>3</v>
      </c>
      <c r="J339" s="2" t="str">
        <f t="array" ref="J339">INDEX(lists!A:A,RANDBETWEEN(1,19))
</f>
        <v>Saco &amp; Biddeford Savings</v>
      </c>
      <c r="K339" s="2" t="str">
        <f t="array" ref="K339">INDEX(lists!N:N,RANDBETWEEN(1,6))
</f>
        <v>Westbrook</v>
      </c>
      <c r="L339" s="2">
        <f t="shared" si="8"/>
        <v>4</v>
      </c>
      <c r="M339" s="2" t="str">
        <f t="array" ref="M339">INDEX(lists!O:O,RANDBETWEEN(1,2))
</f>
        <v>Delivery</v>
      </c>
      <c r="N339" s="2">
        <f t="shared" si="9"/>
        <v>5</v>
      </c>
    </row>
    <row r="340">
      <c r="A340" s="2">
        <f t="shared" si="1"/>
        <v>339</v>
      </c>
      <c r="B340" s="3">
        <f t="shared" si="2"/>
        <v>45539</v>
      </c>
      <c r="C340" s="3">
        <f t="shared" si="3"/>
        <v>45549</v>
      </c>
      <c r="D340" s="3" t="str">
        <f t="shared" si="4"/>
        <v>Completed</v>
      </c>
      <c r="E340" s="2">
        <f t="shared" si="5"/>
        <v>10</v>
      </c>
      <c r="F340" s="2" t="str">
        <f t="array" ref="F340">INDEX(lists!F:F,RANDBETWEEN(1,6))
</f>
        <v>Living Room</v>
      </c>
      <c r="G340" s="2" t="str">
        <f t="array" ref="G340">IFS(
F340="Bedroom",INDEX(lists!G:G,RANDBETWEEN(1,4)),
F340="Living Room",INDEX(lists!H:H,RANDBETWEEN(1,4)),
F340="Dining",INDEX(lists!I:I,RANDBETWEEN(1,2)),
F340="Kitchen",INDEX(lists!J:J,RANDBETWEEN(1,4)),
F340="Office",INDEX(lists!K:K,RANDBETWEEN(1,3)),
F340="Household Essentials",INDEX(lists!L:L,RANDBETWEEN(1,3))
)
</f>
        <v>TV Stand</v>
      </c>
      <c r="H340" s="2">
        <f t="shared" si="6"/>
        <v>2</v>
      </c>
      <c r="I340" s="2">
        <f t="shared" si="7"/>
        <v>2</v>
      </c>
      <c r="J340" s="2" t="str">
        <f t="array" ref="J340">INDEX(lists!A:A,RANDBETWEEN(1,19))
</f>
        <v>Rowe Ford Westbrook</v>
      </c>
      <c r="K340" s="2" t="str">
        <f t="array" ref="K340">INDEX(lists!N:N,RANDBETWEEN(1,6))
</f>
        <v>Falmouth</v>
      </c>
      <c r="L340" s="2">
        <f t="shared" si="8"/>
        <v>2</v>
      </c>
      <c r="M340" s="2" t="str">
        <f t="array" ref="M340">INDEX(lists!O:O,RANDBETWEEN(1,2))
</f>
        <v>Pickup</v>
      </c>
      <c r="N340" s="2">
        <f t="shared" si="9"/>
        <v>2</v>
      </c>
    </row>
    <row r="341">
      <c r="A341" s="2">
        <f t="shared" si="1"/>
        <v>340</v>
      </c>
      <c r="B341" s="3">
        <f t="shared" si="2"/>
        <v>45487</v>
      </c>
      <c r="C341" s="3">
        <f t="shared" si="3"/>
        <v>45491</v>
      </c>
      <c r="D341" s="3" t="str">
        <f t="shared" si="4"/>
        <v>Completed</v>
      </c>
      <c r="E341" s="2">
        <f t="shared" si="5"/>
        <v>4</v>
      </c>
      <c r="F341" s="2" t="str">
        <f t="array" ref="F341">INDEX(lists!F:F,RANDBETWEEN(1,6))
</f>
        <v>Office</v>
      </c>
      <c r="G341" s="2" t="str">
        <f t="array" ref="G341">IFS(
F341="Bedroom",INDEX(lists!G:G,RANDBETWEEN(1,4)),
F341="Living Room",INDEX(lists!H:H,RANDBETWEEN(1,4)),
F341="Dining",INDEX(lists!I:I,RANDBETWEEN(1,2)),
F341="Kitchen",INDEX(lists!J:J,RANDBETWEEN(1,4)),
F341="Office",INDEX(lists!K:K,RANDBETWEEN(1,3)),
F341="Household Essentials",INDEX(lists!L:L,RANDBETWEEN(1,3))
)
</f>
        <v>Desk</v>
      </c>
      <c r="H341" s="2">
        <f t="shared" si="6"/>
        <v>4</v>
      </c>
      <c r="I341" s="2">
        <f t="shared" si="7"/>
        <v>4</v>
      </c>
      <c r="J341" s="2" t="str">
        <f t="array" ref="J341">INDEX(lists!A:A,RANDBETWEEN(1,19))
</f>
        <v>EthosVont</v>
      </c>
      <c r="K341" s="2" t="str">
        <f t="array" ref="K341">INDEX(lists!N:N,RANDBETWEEN(1,6))
</f>
        <v>Falmouth</v>
      </c>
      <c r="L341" s="2">
        <f t="shared" si="8"/>
        <v>3</v>
      </c>
      <c r="M341" s="2" t="str">
        <f t="array" ref="M341">INDEX(lists!O:O,RANDBETWEEN(1,2))
</f>
        <v>Pickup</v>
      </c>
      <c r="N341" s="2">
        <f t="shared" si="9"/>
        <v>1</v>
      </c>
    </row>
    <row r="342">
      <c r="A342" s="2">
        <f t="shared" si="1"/>
        <v>341</v>
      </c>
      <c r="B342" s="3">
        <f t="shared" si="2"/>
        <v>45418</v>
      </c>
      <c r="C342" s="3">
        <f t="shared" si="3"/>
        <v>45428</v>
      </c>
      <c r="D342" s="3" t="str">
        <f t="shared" si="4"/>
        <v>Completed</v>
      </c>
      <c r="E342" s="2">
        <f t="shared" si="5"/>
        <v>10</v>
      </c>
      <c r="F342" s="2" t="str">
        <f t="array" ref="F342">INDEX(lists!F:F,RANDBETWEEN(1,6))
</f>
        <v>Living Room</v>
      </c>
      <c r="G342" s="2" t="str">
        <f t="array" ref="G342">IFS(
F342="Bedroom",INDEX(lists!G:G,RANDBETWEEN(1,4)),
F342="Living Room",INDEX(lists!H:H,RANDBETWEEN(1,4)),
F342="Dining",INDEX(lists!I:I,RANDBETWEEN(1,2)),
F342="Kitchen",INDEX(lists!J:J,RANDBETWEEN(1,4)),
F342="Office",INDEX(lists!K:K,RANDBETWEEN(1,3)),
F342="Household Essentials",INDEX(lists!L:L,RANDBETWEEN(1,3))
)
</f>
        <v>Armchair</v>
      </c>
      <c r="H342" s="2">
        <f t="shared" si="6"/>
        <v>1</v>
      </c>
      <c r="I342" s="2">
        <f t="shared" si="7"/>
        <v>1</v>
      </c>
      <c r="J342" s="2" t="str">
        <f t="array" ref="J342">INDEX(lists!A:A,RANDBETWEEN(1,19))
</f>
        <v>Westbrook Housing</v>
      </c>
      <c r="K342" s="2" t="str">
        <f t="array" ref="K342">INDEX(lists!N:N,RANDBETWEEN(1,6))
</f>
        <v>Westbrook</v>
      </c>
      <c r="L342" s="2">
        <f t="shared" si="8"/>
        <v>5</v>
      </c>
      <c r="M342" s="2" t="str">
        <f t="array" ref="M342">INDEX(lists!O:O,RANDBETWEEN(1,2))
</f>
        <v>Pickup</v>
      </c>
      <c r="N342" s="2">
        <f t="shared" si="9"/>
        <v>4</v>
      </c>
    </row>
    <row r="343">
      <c r="A343" s="2">
        <f t="shared" si="1"/>
        <v>342</v>
      </c>
      <c r="B343" s="3">
        <f t="shared" si="2"/>
        <v>45653</v>
      </c>
      <c r="C343" s="3">
        <f t="shared" si="3"/>
        <v>45659</v>
      </c>
      <c r="D343" s="3" t="str">
        <f t="shared" si="4"/>
        <v>Completed</v>
      </c>
      <c r="E343" s="2">
        <f t="shared" si="5"/>
        <v>6</v>
      </c>
      <c r="F343" s="2" t="str">
        <f t="array" ref="F343">INDEX(lists!F:F,RANDBETWEEN(1,6))
</f>
        <v>Kitchen</v>
      </c>
      <c r="G343" s="2" t="str">
        <f t="array" ref="G343">IFS(
F343="Bedroom",INDEX(lists!G:G,RANDBETWEEN(1,4)),
F343="Living Room",INDEX(lists!H:H,RANDBETWEEN(1,4)),
F343="Dining",INDEX(lists!I:I,RANDBETWEEN(1,2)),
F343="Kitchen",INDEX(lists!J:J,RANDBETWEEN(1,4)),
F343="Office",INDEX(lists!K:K,RANDBETWEEN(1,3)),
F343="Household Essentials",INDEX(lists!L:L,RANDBETWEEN(1,3))
)
</f>
        <v>Pots &amp; Pans</v>
      </c>
      <c r="H343" s="2">
        <f t="shared" si="6"/>
        <v>1</v>
      </c>
      <c r="I343" s="2">
        <f t="shared" si="7"/>
        <v>1</v>
      </c>
      <c r="J343" s="2" t="str">
        <f t="array" ref="J343">INDEX(lists!A:A,RANDBETWEEN(1,19))
</f>
        <v>NewHeight Group</v>
      </c>
      <c r="K343" s="2" t="str">
        <f t="array" ref="K343">INDEX(lists!N:N,RANDBETWEEN(1,6))
</f>
        <v>Portland</v>
      </c>
      <c r="L343" s="2">
        <f t="shared" si="8"/>
        <v>1</v>
      </c>
      <c r="M343" s="2" t="str">
        <f t="array" ref="M343">INDEX(lists!O:O,RANDBETWEEN(1,2))
</f>
        <v>Delivery</v>
      </c>
      <c r="N343" s="2">
        <f t="shared" si="9"/>
        <v>4</v>
      </c>
    </row>
    <row r="344">
      <c r="A344" s="2">
        <f t="shared" si="1"/>
        <v>343</v>
      </c>
      <c r="B344" s="3">
        <f t="shared" si="2"/>
        <v>45766</v>
      </c>
      <c r="C344" s="3">
        <f t="shared" si="3"/>
        <v>45770</v>
      </c>
      <c r="D344" s="3" t="str">
        <f t="shared" si="4"/>
        <v>Completed</v>
      </c>
      <c r="E344" s="2">
        <f t="shared" si="5"/>
        <v>4</v>
      </c>
      <c r="F344" s="2" t="str">
        <f t="array" ref="F344">INDEX(lists!F:F,RANDBETWEEN(1,6))
</f>
        <v>Living Room</v>
      </c>
      <c r="G344" s="2" t="str">
        <f t="array" ref="G344">IFS(
F344="Bedroom",INDEX(lists!G:G,RANDBETWEEN(1,4)),
F344="Living Room",INDEX(lists!H:H,RANDBETWEEN(1,4)),
F344="Dining",INDEX(lists!I:I,RANDBETWEEN(1,2)),
F344="Kitchen",INDEX(lists!J:J,RANDBETWEEN(1,4)),
F344="Office",INDEX(lists!K:K,RANDBETWEEN(1,3)),
F344="Household Essentials",INDEX(lists!L:L,RANDBETWEEN(1,3))
)
</f>
        <v>Armchair</v>
      </c>
      <c r="H344" s="2">
        <f t="shared" si="6"/>
        <v>3</v>
      </c>
      <c r="I344" s="2">
        <f t="shared" si="7"/>
        <v>2</v>
      </c>
      <c r="J344" s="2" t="str">
        <f t="array" ref="J344">INDEX(lists!A:A,RANDBETWEEN(1,19))
</f>
        <v>Portland Mattress Makers</v>
      </c>
      <c r="K344" s="2" t="str">
        <f t="array" ref="K344">INDEX(lists!N:N,RANDBETWEEN(1,6))
</f>
        <v>Westbrook</v>
      </c>
      <c r="L344" s="2">
        <f t="shared" si="8"/>
        <v>3</v>
      </c>
      <c r="M344" s="2" t="str">
        <f t="array" ref="M344">INDEX(lists!O:O,RANDBETWEEN(1,2))
</f>
        <v>Pickup</v>
      </c>
      <c r="N344" s="2">
        <f t="shared" si="9"/>
        <v>5</v>
      </c>
    </row>
    <row r="345">
      <c r="A345" s="2">
        <f t="shared" si="1"/>
        <v>344</v>
      </c>
      <c r="B345" s="3">
        <f t="shared" si="2"/>
        <v>45667</v>
      </c>
      <c r="C345" s="3">
        <f t="shared" si="3"/>
        <v>45697</v>
      </c>
      <c r="D345" s="3" t="str">
        <f t="shared" si="4"/>
        <v>Completed</v>
      </c>
      <c r="E345" s="2">
        <f t="shared" si="5"/>
        <v>30</v>
      </c>
      <c r="F345" s="2" t="str">
        <f t="array" ref="F345">INDEX(lists!F:F,RANDBETWEEN(1,6))
</f>
        <v>Kitchen</v>
      </c>
      <c r="G345" s="2" t="str">
        <f t="array" ref="G345">IFS(
F345="Bedroom",INDEX(lists!G:G,RANDBETWEEN(1,4)),
F345="Living Room",INDEX(lists!H:H,RANDBETWEEN(1,4)),
F345="Dining",INDEX(lists!I:I,RANDBETWEEN(1,2)),
F345="Kitchen",INDEX(lists!J:J,RANDBETWEEN(1,4)),
F345="Office",INDEX(lists!K:K,RANDBETWEEN(1,3)),
F345="Household Essentials",INDEX(lists!L:L,RANDBETWEEN(1,3))
)
</f>
        <v>Small Appliances</v>
      </c>
      <c r="H345" s="2">
        <f t="shared" si="6"/>
        <v>2</v>
      </c>
      <c r="I345" s="2">
        <f t="shared" si="7"/>
        <v>1</v>
      </c>
      <c r="J345" s="2" t="str">
        <f t="array" ref="J345">INDEX(lists!A:A,RANDBETWEEN(1,19))
</f>
        <v>Westbrook Housing</v>
      </c>
      <c r="K345" s="2" t="str">
        <f t="array" ref="K345">INDEX(lists!N:N,RANDBETWEEN(1,6))
</f>
        <v>Westbrook</v>
      </c>
      <c r="L345" s="2">
        <f t="shared" si="8"/>
        <v>6</v>
      </c>
      <c r="M345" s="2" t="str">
        <f t="array" ref="M345">INDEX(lists!O:O,RANDBETWEEN(1,2))
</f>
        <v>Pickup</v>
      </c>
      <c r="N345" s="2">
        <f t="shared" si="9"/>
        <v>2</v>
      </c>
    </row>
    <row r="346">
      <c r="A346" s="2">
        <f t="shared" si="1"/>
        <v>345</v>
      </c>
      <c r="B346" s="3">
        <f t="shared" si="2"/>
        <v>45421</v>
      </c>
      <c r="C346" s="3" t="str">
        <f t="shared" si="3"/>
        <v/>
      </c>
      <c r="D346" s="3" t="str">
        <f t="shared" si="4"/>
        <v>Pending</v>
      </c>
      <c r="E346" s="2" t="str">
        <f t="shared" si="5"/>
        <v/>
      </c>
      <c r="F346" s="2" t="str">
        <f t="array" ref="F346">INDEX(lists!F:F,RANDBETWEEN(1,6))
</f>
        <v>Kitchen</v>
      </c>
      <c r="G346" s="2" t="str">
        <f t="array" ref="G346">IFS(
F346="Bedroom",INDEX(lists!G:G,RANDBETWEEN(1,4)),
F346="Living Room",INDEX(lists!H:H,RANDBETWEEN(1,4)),
F346="Dining",INDEX(lists!I:I,RANDBETWEEN(1,2)),
F346="Kitchen",INDEX(lists!J:J,RANDBETWEEN(1,4)),
F346="Office",INDEX(lists!K:K,RANDBETWEEN(1,3)),
F346="Household Essentials",INDEX(lists!L:L,RANDBETWEEN(1,3))
)
</f>
        <v>Dishes</v>
      </c>
      <c r="H346" s="2">
        <f t="shared" si="6"/>
        <v>3</v>
      </c>
      <c r="I346" s="2" t="str">
        <f t="shared" si="7"/>
        <v/>
      </c>
      <c r="J346" s="2" t="str">
        <f t="array" ref="J346">INDEX(lists!A:A,RANDBETWEEN(1,19))
</f>
        <v>Rowe Ford Westbrook</v>
      </c>
      <c r="K346" s="2" t="str">
        <f t="array" ref="K346">INDEX(lists!N:N,RANDBETWEEN(1,6))
</f>
        <v>Portland</v>
      </c>
      <c r="L346" s="2">
        <f t="shared" si="8"/>
        <v>3</v>
      </c>
      <c r="M346" s="2" t="str">
        <f t="array" ref="M346">INDEX(lists!O:O,RANDBETWEEN(1,2))
</f>
        <v>Pickup</v>
      </c>
      <c r="N346" s="2">
        <f t="shared" si="9"/>
        <v>4</v>
      </c>
    </row>
    <row r="347">
      <c r="A347" s="2">
        <f t="shared" si="1"/>
        <v>346</v>
      </c>
      <c r="B347" s="3">
        <f t="shared" si="2"/>
        <v>45736</v>
      </c>
      <c r="C347" s="3">
        <f t="shared" si="3"/>
        <v>45747</v>
      </c>
      <c r="D347" s="3" t="str">
        <f t="shared" si="4"/>
        <v>Completed</v>
      </c>
      <c r="E347" s="2">
        <f t="shared" si="5"/>
        <v>11</v>
      </c>
      <c r="F347" s="2" t="str">
        <f t="array" ref="F347">INDEX(lists!F:F,RANDBETWEEN(1,6))
</f>
        <v>Kitchen</v>
      </c>
      <c r="G347" s="2" t="str">
        <f t="array" ref="G347">IFS(
F347="Bedroom",INDEX(lists!G:G,RANDBETWEEN(1,4)),
F347="Living Room",INDEX(lists!H:H,RANDBETWEEN(1,4)),
F347="Dining",INDEX(lists!I:I,RANDBETWEEN(1,2)),
F347="Kitchen",INDEX(lists!J:J,RANDBETWEEN(1,4)),
F347="Office",INDEX(lists!K:K,RANDBETWEEN(1,3)),
F347="Household Essentials",INDEX(lists!L:L,RANDBETWEEN(1,3))
)
</f>
        <v>Small Appliances</v>
      </c>
      <c r="H347" s="2">
        <f t="shared" si="6"/>
        <v>4</v>
      </c>
      <c r="I347" s="2">
        <f t="shared" si="7"/>
        <v>2</v>
      </c>
      <c r="J347" s="2" t="str">
        <f t="array" ref="J347">INDEX(lists!A:A,RANDBETWEEN(1,19))
</f>
        <v>Westbrook Housing</v>
      </c>
      <c r="K347" s="2" t="str">
        <f t="array" ref="K347">INDEX(lists!N:N,RANDBETWEEN(1,6))
</f>
        <v>Scarborough</v>
      </c>
      <c r="L347" s="2">
        <f t="shared" si="8"/>
        <v>6</v>
      </c>
      <c r="M347" s="2" t="str">
        <f t="array" ref="M347">INDEX(lists!O:O,RANDBETWEEN(1,2))
</f>
        <v>Delivery</v>
      </c>
      <c r="N347" s="2">
        <f t="shared" si="9"/>
        <v>5</v>
      </c>
    </row>
    <row r="348">
      <c r="A348" s="2">
        <f t="shared" si="1"/>
        <v>347</v>
      </c>
      <c r="B348" s="3">
        <f t="shared" si="2"/>
        <v>45809</v>
      </c>
      <c r="C348" s="3">
        <f t="shared" si="3"/>
        <v>45843</v>
      </c>
      <c r="D348" s="3" t="str">
        <f t="shared" si="4"/>
        <v>Completed</v>
      </c>
      <c r="E348" s="2">
        <f t="shared" si="5"/>
        <v>34</v>
      </c>
      <c r="F348" s="2" t="str">
        <f t="array" ref="F348">INDEX(lists!F:F,RANDBETWEEN(1,6))
</f>
        <v>Kitchen</v>
      </c>
      <c r="G348" s="2" t="str">
        <f t="array" ref="G348">IFS(
F348="Bedroom",INDEX(lists!G:G,RANDBETWEEN(1,4)),
F348="Living Room",INDEX(lists!H:H,RANDBETWEEN(1,4)),
F348="Dining",INDEX(lists!I:I,RANDBETWEEN(1,2)),
F348="Kitchen",INDEX(lists!J:J,RANDBETWEEN(1,4)),
F348="Office",INDEX(lists!K:K,RANDBETWEEN(1,3)),
F348="Household Essentials",INDEX(lists!L:L,RANDBETWEEN(1,3))
)
</f>
        <v>Pots &amp; Pans</v>
      </c>
      <c r="H348" s="2">
        <f t="shared" si="6"/>
        <v>3</v>
      </c>
      <c r="I348" s="2">
        <f t="shared" si="7"/>
        <v>2</v>
      </c>
      <c r="J348" s="2" t="str">
        <f t="array" ref="J348">INDEX(lists!A:A,RANDBETWEEN(1,19))
</f>
        <v>GoGo Refill</v>
      </c>
      <c r="K348" s="2" t="str">
        <f t="array" ref="K348">INDEX(lists!N:N,RANDBETWEEN(1,6))
</f>
        <v>Falmouth</v>
      </c>
      <c r="L348" s="2">
        <f t="shared" si="8"/>
        <v>3</v>
      </c>
      <c r="M348" s="2" t="str">
        <f t="array" ref="M348">INDEX(lists!O:O,RANDBETWEEN(1,2))
</f>
        <v>Pickup</v>
      </c>
      <c r="N348" s="2">
        <f t="shared" si="9"/>
        <v>6</v>
      </c>
    </row>
    <row r="349">
      <c r="A349" s="2">
        <f t="shared" si="1"/>
        <v>348</v>
      </c>
      <c r="B349" s="3">
        <f t="shared" si="2"/>
        <v>45424</v>
      </c>
      <c r="C349" s="3">
        <f t="shared" si="3"/>
        <v>45437</v>
      </c>
      <c r="D349" s="3" t="str">
        <f t="shared" si="4"/>
        <v>Completed</v>
      </c>
      <c r="E349" s="2">
        <f t="shared" si="5"/>
        <v>13</v>
      </c>
      <c r="F349" s="2" t="str">
        <f t="array" ref="F349">INDEX(lists!F:F,RANDBETWEEN(1,6))
</f>
        <v>Office</v>
      </c>
      <c r="G349" s="2" t="str">
        <f t="array" ref="G349">IFS(
F349="Bedroom",INDEX(lists!G:G,RANDBETWEEN(1,4)),
F349="Living Room",INDEX(lists!H:H,RANDBETWEEN(1,4)),
F349="Dining",INDEX(lists!I:I,RANDBETWEEN(1,2)),
F349="Kitchen",INDEX(lists!J:J,RANDBETWEEN(1,4)),
F349="Office",INDEX(lists!K:K,RANDBETWEEN(1,3)),
F349="Household Essentials",INDEX(lists!L:L,RANDBETWEEN(1,3))
)
</f>
        <v>Bookshelf</v>
      </c>
      <c r="H349" s="2">
        <f t="shared" si="6"/>
        <v>1</v>
      </c>
      <c r="I349" s="2">
        <f t="shared" si="7"/>
        <v>1</v>
      </c>
      <c r="J349" s="2" t="str">
        <f t="array" ref="J349">INDEX(lists!A:A,RANDBETWEEN(1,19))
</f>
        <v>Maine Community Bank</v>
      </c>
      <c r="K349" s="2" t="str">
        <f t="array" ref="K349">INDEX(lists!N:N,RANDBETWEEN(1,6))
</f>
        <v>Westbrook</v>
      </c>
      <c r="L349" s="2">
        <f t="shared" si="8"/>
        <v>6</v>
      </c>
      <c r="M349" s="2" t="str">
        <f t="array" ref="M349">INDEX(lists!O:O,RANDBETWEEN(1,2))
</f>
        <v>Delivery</v>
      </c>
      <c r="N349" s="2">
        <f t="shared" si="9"/>
        <v>3</v>
      </c>
    </row>
    <row r="350">
      <c r="A350" s="2">
        <f t="shared" si="1"/>
        <v>349</v>
      </c>
      <c r="B350" s="3">
        <f t="shared" si="2"/>
        <v>45513</v>
      </c>
      <c r="C350" s="3">
        <f t="shared" si="3"/>
        <v>45517</v>
      </c>
      <c r="D350" s="3" t="str">
        <f t="shared" si="4"/>
        <v>Completed</v>
      </c>
      <c r="E350" s="2">
        <f t="shared" si="5"/>
        <v>4</v>
      </c>
      <c r="F350" s="2" t="str">
        <f t="array" ref="F350">INDEX(lists!F:F,RANDBETWEEN(1,6))
</f>
        <v>Bedroom</v>
      </c>
      <c r="G350" s="2" t="str">
        <f t="array" ref="G350">IFS(
F350="Bedroom",INDEX(lists!G:G,RANDBETWEEN(1,4)),
F350="Living Room",INDEX(lists!H:H,RANDBETWEEN(1,4)),
F350="Dining",INDEX(lists!I:I,RANDBETWEEN(1,2)),
F350="Kitchen",INDEX(lists!J:J,RANDBETWEEN(1,4)),
F350="Office",INDEX(lists!K:K,RANDBETWEEN(1,3)),
F350="Household Essentials",INDEX(lists!L:L,RANDBETWEEN(1,3))
)
</f>
        <v>Bed Frame</v>
      </c>
      <c r="H350" s="2">
        <f t="shared" si="6"/>
        <v>3</v>
      </c>
      <c r="I350" s="2">
        <f t="shared" si="7"/>
        <v>1</v>
      </c>
      <c r="J350" s="2" t="str">
        <f t="array" ref="J350">INDEX(lists!A:A,RANDBETWEEN(1,19))
</f>
        <v>Maine Community Bank</v>
      </c>
      <c r="K350" s="2" t="str">
        <f t="array" ref="K350">INDEX(lists!N:N,RANDBETWEEN(1,6))
</f>
        <v>Westbrook</v>
      </c>
      <c r="L350" s="2">
        <f t="shared" si="8"/>
        <v>5</v>
      </c>
      <c r="M350" s="2" t="str">
        <f t="array" ref="M350">INDEX(lists!O:O,RANDBETWEEN(1,2))
</f>
        <v>Pickup</v>
      </c>
      <c r="N350" s="2">
        <f t="shared" si="9"/>
        <v>2</v>
      </c>
    </row>
    <row r="351">
      <c r="A351" s="2">
        <f t="shared" si="1"/>
        <v>350</v>
      </c>
      <c r="B351" s="3">
        <f t="shared" si="2"/>
        <v>45780</v>
      </c>
      <c r="C351" s="3">
        <f t="shared" si="3"/>
        <v>45788</v>
      </c>
      <c r="D351" s="3" t="str">
        <f t="shared" si="4"/>
        <v>Completed</v>
      </c>
      <c r="E351" s="2">
        <f t="shared" si="5"/>
        <v>8</v>
      </c>
      <c r="F351" s="2" t="str">
        <f t="array" ref="F351">INDEX(lists!F:F,RANDBETWEEN(1,6))
</f>
        <v>Living Room</v>
      </c>
      <c r="G351" s="2" t="str">
        <f t="array" ref="G351">IFS(
F351="Bedroom",INDEX(lists!G:G,RANDBETWEEN(1,4)),
F351="Living Room",INDEX(lists!H:H,RANDBETWEEN(1,4)),
F351="Dining",INDEX(lists!I:I,RANDBETWEEN(1,2)),
F351="Kitchen",INDEX(lists!J:J,RANDBETWEEN(1,4)),
F351="Office",INDEX(lists!K:K,RANDBETWEEN(1,3)),
F351="Household Essentials",INDEX(lists!L:L,RANDBETWEEN(1,3))
)
</f>
        <v>Sofa</v>
      </c>
      <c r="H351" s="2">
        <f t="shared" si="6"/>
        <v>2</v>
      </c>
      <c r="I351" s="2">
        <f t="shared" si="7"/>
        <v>2</v>
      </c>
      <c r="J351" s="2" t="str">
        <f t="array" ref="J351">INDEX(lists!A:A,RANDBETWEEN(1,19))
</f>
        <v>Maine Community Bank</v>
      </c>
      <c r="K351" s="2" t="str">
        <f t="array" ref="K351">INDEX(lists!N:N,RANDBETWEEN(1,6))
</f>
        <v>Scarborough</v>
      </c>
      <c r="L351" s="2">
        <f t="shared" si="8"/>
        <v>6</v>
      </c>
      <c r="M351" s="2" t="str">
        <f t="array" ref="M351">INDEX(lists!O:O,RANDBETWEEN(1,2))
</f>
        <v>Pickup</v>
      </c>
      <c r="N351" s="2">
        <f t="shared" si="9"/>
        <v>3</v>
      </c>
    </row>
    <row r="352">
      <c r="A352" s="2">
        <f t="shared" si="1"/>
        <v>351</v>
      </c>
      <c r="B352" s="3">
        <f t="shared" si="2"/>
        <v>45700</v>
      </c>
      <c r="C352" s="3">
        <f t="shared" si="3"/>
        <v>45704</v>
      </c>
      <c r="D352" s="3" t="str">
        <f t="shared" si="4"/>
        <v>Completed</v>
      </c>
      <c r="E352" s="2">
        <f t="shared" si="5"/>
        <v>4</v>
      </c>
      <c r="F352" s="2" t="str">
        <f t="array" ref="F352">INDEX(lists!F:F,RANDBETWEEN(1,6))
</f>
        <v>Living Room</v>
      </c>
      <c r="G352" s="2" t="str">
        <f t="array" ref="G352">IFS(
F352="Bedroom",INDEX(lists!G:G,RANDBETWEEN(1,4)),
F352="Living Room",INDEX(lists!H:H,RANDBETWEEN(1,4)),
F352="Dining",INDEX(lists!I:I,RANDBETWEEN(1,2)),
F352="Kitchen",INDEX(lists!J:J,RANDBETWEEN(1,4)),
F352="Office",INDEX(lists!K:K,RANDBETWEEN(1,3)),
F352="Household Essentials",INDEX(lists!L:L,RANDBETWEEN(1,3))
)
</f>
        <v>Armchair</v>
      </c>
      <c r="H352" s="2">
        <f t="shared" si="6"/>
        <v>1</v>
      </c>
      <c r="I352" s="2">
        <f t="shared" si="7"/>
        <v>1</v>
      </c>
      <c r="J352" s="2" t="str">
        <f t="array" ref="J352">INDEX(lists!A:A,RANDBETWEEN(1,19))
</f>
        <v>GoGo Refill</v>
      </c>
      <c r="K352" s="2" t="str">
        <f t="array" ref="K352">INDEX(lists!N:N,RANDBETWEEN(1,6))
</f>
        <v>Portland</v>
      </c>
      <c r="L352" s="2">
        <f t="shared" si="8"/>
        <v>6</v>
      </c>
      <c r="M352" s="2" t="str">
        <f t="array" ref="M352">INDEX(lists!O:O,RANDBETWEEN(1,2))
</f>
        <v>Delivery</v>
      </c>
      <c r="N352" s="2">
        <f t="shared" si="9"/>
        <v>2</v>
      </c>
    </row>
    <row r="353">
      <c r="A353" s="2">
        <f t="shared" si="1"/>
        <v>352</v>
      </c>
      <c r="B353" s="3">
        <f t="shared" si="2"/>
        <v>45368</v>
      </c>
      <c r="C353" s="3">
        <f t="shared" si="3"/>
        <v>45380</v>
      </c>
      <c r="D353" s="3" t="str">
        <f t="shared" si="4"/>
        <v>Completed</v>
      </c>
      <c r="E353" s="2">
        <f t="shared" si="5"/>
        <v>12</v>
      </c>
      <c r="F353" s="2" t="str">
        <f t="array" ref="F353">INDEX(lists!F:F,RANDBETWEEN(1,6))
</f>
        <v>Living Room</v>
      </c>
      <c r="G353" s="2" t="str">
        <f t="array" ref="G353">IFS(
F353="Bedroom",INDEX(lists!G:G,RANDBETWEEN(1,4)),
F353="Living Room",INDEX(lists!H:H,RANDBETWEEN(1,4)),
F353="Dining",INDEX(lists!I:I,RANDBETWEEN(1,2)),
F353="Kitchen",INDEX(lists!J:J,RANDBETWEEN(1,4)),
F353="Office",INDEX(lists!K:K,RANDBETWEEN(1,3)),
F353="Household Essentials",INDEX(lists!L:L,RANDBETWEEN(1,3))
)
</f>
        <v>Coffee Table</v>
      </c>
      <c r="H353" s="2">
        <f t="shared" si="6"/>
        <v>3</v>
      </c>
      <c r="I353" s="2">
        <f t="shared" si="7"/>
        <v>1</v>
      </c>
      <c r="J353" s="2" t="str">
        <f t="array" ref="J353">INDEX(lists!A:A,RANDBETWEEN(1,19))
</f>
        <v>Portland Harbor Group Raymond James</v>
      </c>
      <c r="K353" s="2" t="str">
        <f t="array" ref="K353">INDEX(lists!N:N,RANDBETWEEN(1,6))
</f>
        <v>Scarborough</v>
      </c>
      <c r="L353" s="2">
        <f t="shared" si="8"/>
        <v>2</v>
      </c>
      <c r="M353" s="2" t="str">
        <f t="array" ref="M353">INDEX(lists!O:O,RANDBETWEEN(1,2))
</f>
        <v>Pickup</v>
      </c>
      <c r="N353" s="2">
        <f t="shared" si="9"/>
        <v>4</v>
      </c>
    </row>
    <row r="354">
      <c r="A354" s="2">
        <f t="shared" si="1"/>
        <v>353</v>
      </c>
      <c r="B354" s="3">
        <f t="shared" si="2"/>
        <v>45780</v>
      </c>
      <c r="C354" s="3">
        <f t="shared" si="3"/>
        <v>45783</v>
      </c>
      <c r="D354" s="3" t="str">
        <f t="shared" si="4"/>
        <v>Completed</v>
      </c>
      <c r="E354" s="2">
        <f t="shared" si="5"/>
        <v>3</v>
      </c>
      <c r="F354" s="2" t="str">
        <f t="array" ref="F354">INDEX(lists!F:F,RANDBETWEEN(1,6))
</f>
        <v>Bedroom</v>
      </c>
      <c r="G354" s="2" t="str">
        <f t="array" ref="G354">IFS(
F354="Bedroom",INDEX(lists!G:G,RANDBETWEEN(1,4)),
F354="Living Room",INDEX(lists!H:H,RANDBETWEEN(1,4)),
F354="Dining",INDEX(lists!I:I,RANDBETWEEN(1,2)),
F354="Kitchen",INDEX(lists!J:J,RANDBETWEEN(1,4)),
F354="Office",INDEX(lists!K:K,RANDBETWEEN(1,3)),
F354="Household Essentials",INDEX(lists!L:L,RANDBETWEEN(1,3))
)
</f>
        <v>Nightstand</v>
      </c>
      <c r="H354" s="2">
        <f t="shared" si="6"/>
        <v>4</v>
      </c>
      <c r="I354" s="2">
        <f t="shared" si="7"/>
        <v>3</v>
      </c>
      <c r="J354" s="2" t="str">
        <f t="array" ref="J354">INDEX(lists!A:A,RANDBETWEEN(1,19))
</f>
        <v>Westbrook Housing</v>
      </c>
      <c r="K354" s="2" t="str">
        <f t="array" ref="K354">INDEX(lists!N:N,RANDBETWEEN(1,6))
</f>
        <v>South Portland</v>
      </c>
      <c r="L354" s="2">
        <f t="shared" si="8"/>
        <v>4</v>
      </c>
      <c r="M354" s="2" t="str">
        <f t="array" ref="M354">INDEX(lists!O:O,RANDBETWEEN(1,2))
</f>
        <v>Delivery</v>
      </c>
      <c r="N354" s="2">
        <f t="shared" si="9"/>
        <v>1</v>
      </c>
    </row>
    <row r="355">
      <c r="A355" s="2">
        <f t="shared" si="1"/>
        <v>354</v>
      </c>
      <c r="B355" s="3">
        <f t="shared" si="2"/>
        <v>45470</v>
      </c>
      <c r="C355" s="3">
        <f t="shared" si="3"/>
        <v>45472</v>
      </c>
      <c r="D355" s="3" t="str">
        <f t="shared" si="4"/>
        <v>Completed</v>
      </c>
      <c r="E355" s="2">
        <f t="shared" si="5"/>
        <v>2</v>
      </c>
      <c r="F355" s="2" t="str">
        <f t="array" ref="F355">INDEX(lists!F:F,RANDBETWEEN(1,6))
</f>
        <v>Bedroom</v>
      </c>
      <c r="G355" s="2" t="str">
        <f t="array" ref="G355">IFS(
F355="Bedroom",INDEX(lists!G:G,RANDBETWEEN(1,4)),
F355="Living Room",INDEX(lists!H:H,RANDBETWEEN(1,4)),
F355="Dining",INDEX(lists!I:I,RANDBETWEEN(1,2)),
F355="Kitchen",INDEX(lists!J:J,RANDBETWEEN(1,4)),
F355="Office",INDEX(lists!K:K,RANDBETWEEN(1,3)),
F355="Household Essentials",INDEX(lists!L:L,RANDBETWEEN(1,3))
)
</f>
        <v>Dresser</v>
      </c>
      <c r="H355" s="2">
        <f t="shared" si="6"/>
        <v>2</v>
      </c>
      <c r="I355" s="2">
        <f t="shared" si="7"/>
        <v>2</v>
      </c>
      <c r="J355" s="2" t="str">
        <f t="array" ref="J355">INDEX(lists!A:A,RANDBETWEEN(1,19))
</f>
        <v>Portland Harbor Group Raymond James</v>
      </c>
      <c r="K355" s="2" t="str">
        <f t="array" ref="K355">INDEX(lists!N:N,RANDBETWEEN(1,6))
</f>
        <v>Westbrook</v>
      </c>
      <c r="L355" s="2">
        <f t="shared" si="8"/>
        <v>6</v>
      </c>
      <c r="M355" s="2" t="str">
        <f t="array" ref="M355">INDEX(lists!O:O,RANDBETWEEN(1,2))
</f>
        <v>Delivery</v>
      </c>
      <c r="N355" s="2">
        <f t="shared" si="9"/>
        <v>6</v>
      </c>
    </row>
    <row r="356">
      <c r="A356" s="2">
        <f t="shared" si="1"/>
        <v>355</v>
      </c>
      <c r="B356" s="3">
        <f t="shared" si="2"/>
        <v>45298</v>
      </c>
      <c r="C356" s="3">
        <f t="shared" si="3"/>
        <v>45304</v>
      </c>
      <c r="D356" s="3" t="str">
        <f t="shared" si="4"/>
        <v>Completed</v>
      </c>
      <c r="E356" s="2">
        <f t="shared" si="5"/>
        <v>6</v>
      </c>
      <c r="F356" s="2" t="str">
        <f t="array" ref="F356">INDEX(lists!F:F,RANDBETWEEN(1,6))
</f>
        <v>Bedroom</v>
      </c>
      <c r="G356" s="2" t="str">
        <f t="array" ref="G356">IFS(
F356="Bedroom",INDEX(lists!G:G,RANDBETWEEN(1,4)),
F356="Living Room",INDEX(lists!H:H,RANDBETWEEN(1,4)),
F356="Dining",INDEX(lists!I:I,RANDBETWEEN(1,2)),
F356="Kitchen",INDEX(lists!J:J,RANDBETWEEN(1,4)),
F356="Office",INDEX(lists!K:K,RANDBETWEEN(1,3)),
F356="Household Essentials",INDEX(lists!L:L,RANDBETWEEN(1,3))
)
</f>
        <v>Dresser</v>
      </c>
      <c r="H356" s="2">
        <f t="shared" si="6"/>
        <v>3</v>
      </c>
      <c r="I356" s="2">
        <f t="shared" si="7"/>
        <v>3</v>
      </c>
      <c r="J356" s="2" t="str">
        <f t="array" ref="J356">INDEX(lists!A:A,RANDBETWEEN(1,19))
</f>
        <v>Diversified</v>
      </c>
      <c r="K356" s="2" t="str">
        <f t="array" ref="K356">INDEX(lists!N:N,RANDBETWEEN(1,6))
</f>
        <v>Westbrook</v>
      </c>
      <c r="L356" s="2">
        <f t="shared" si="8"/>
        <v>6</v>
      </c>
      <c r="M356" s="2" t="str">
        <f t="array" ref="M356">INDEX(lists!O:O,RANDBETWEEN(1,2))
</f>
        <v>Pickup</v>
      </c>
      <c r="N356" s="2">
        <f t="shared" si="9"/>
        <v>4</v>
      </c>
    </row>
    <row r="357">
      <c r="A357" s="2">
        <f t="shared" si="1"/>
        <v>356</v>
      </c>
      <c r="B357" s="3">
        <f t="shared" si="2"/>
        <v>45506</v>
      </c>
      <c r="C357" s="3">
        <f t="shared" si="3"/>
        <v>45516</v>
      </c>
      <c r="D357" s="3" t="str">
        <f t="shared" si="4"/>
        <v>Completed</v>
      </c>
      <c r="E357" s="2">
        <f t="shared" si="5"/>
        <v>10</v>
      </c>
      <c r="F357" s="2" t="str">
        <f t="array" ref="F357">INDEX(lists!F:F,RANDBETWEEN(1,6))
</f>
        <v>Bedroom</v>
      </c>
      <c r="G357" s="2" t="str">
        <f t="array" ref="G357">IFS(
F357="Bedroom",INDEX(lists!G:G,RANDBETWEEN(1,4)),
F357="Living Room",INDEX(lists!H:H,RANDBETWEEN(1,4)),
F357="Dining",INDEX(lists!I:I,RANDBETWEEN(1,2)),
F357="Kitchen",INDEX(lists!J:J,RANDBETWEEN(1,4)),
F357="Office",INDEX(lists!K:K,RANDBETWEEN(1,3)),
F357="Household Essentials",INDEX(lists!L:L,RANDBETWEEN(1,3))
)
</f>
        <v>Dresser</v>
      </c>
      <c r="H357" s="2">
        <f t="shared" si="6"/>
        <v>1</v>
      </c>
      <c r="I357" s="2">
        <f t="shared" si="7"/>
        <v>1</v>
      </c>
      <c r="J357" s="2" t="str">
        <f t="array" ref="J357">INDEX(lists!A:A,RANDBETWEEN(1,19))
</f>
        <v>EthosVont</v>
      </c>
      <c r="K357" s="2" t="str">
        <f t="array" ref="K357">INDEX(lists!N:N,RANDBETWEEN(1,6))
</f>
        <v>Scarborough</v>
      </c>
      <c r="L357" s="2">
        <f t="shared" si="8"/>
        <v>2</v>
      </c>
      <c r="M357" s="2" t="str">
        <f t="array" ref="M357">INDEX(lists!O:O,RANDBETWEEN(1,2))
</f>
        <v>Delivery</v>
      </c>
      <c r="N357" s="2">
        <f t="shared" si="9"/>
        <v>5</v>
      </c>
    </row>
    <row r="358">
      <c r="A358" s="2">
        <f t="shared" si="1"/>
        <v>357</v>
      </c>
      <c r="B358" s="3">
        <f t="shared" si="2"/>
        <v>45691</v>
      </c>
      <c r="C358" s="3">
        <f t="shared" si="3"/>
        <v>45699</v>
      </c>
      <c r="D358" s="3" t="str">
        <f t="shared" si="4"/>
        <v>Completed</v>
      </c>
      <c r="E358" s="2">
        <f t="shared" si="5"/>
        <v>8</v>
      </c>
      <c r="F358" s="2" t="str">
        <f t="array" ref="F358">INDEX(lists!F:F,RANDBETWEEN(1,6))
</f>
        <v>Household Essentials</v>
      </c>
      <c r="G358" s="2" t="str">
        <f t="array" ref="G358">IFS(
F358="Bedroom",INDEX(lists!G:G,RANDBETWEEN(1,4)),
F358="Living Room",INDEX(lists!H:H,RANDBETWEEN(1,4)),
F358="Dining",INDEX(lists!I:I,RANDBETWEEN(1,2)),
F358="Kitchen",INDEX(lists!J:J,RANDBETWEEN(1,4)),
F358="Office",INDEX(lists!K:K,RANDBETWEEN(1,3)),
F358="Household Essentials",INDEX(lists!L:L,RANDBETWEEN(1,3))
)
</f>
        <v>Rugs</v>
      </c>
      <c r="H358" s="2">
        <f t="shared" si="6"/>
        <v>1</v>
      </c>
      <c r="I358" s="2">
        <f t="shared" si="7"/>
        <v>1</v>
      </c>
      <c r="J358" s="2" t="str">
        <f t="array" ref="J358">INDEX(lists!A:A,RANDBETWEEN(1,19))
</f>
        <v>Rowe Ford Westbrook</v>
      </c>
      <c r="K358" s="2" t="str">
        <f t="array" ref="K358">INDEX(lists!N:N,RANDBETWEEN(1,6))
</f>
        <v>Falmouth</v>
      </c>
      <c r="L358" s="2">
        <f t="shared" si="8"/>
        <v>1</v>
      </c>
      <c r="M358" s="2" t="str">
        <f t="array" ref="M358">INDEX(lists!O:O,RANDBETWEEN(1,2))
</f>
        <v>Delivery</v>
      </c>
      <c r="N358" s="2">
        <f t="shared" si="9"/>
        <v>4</v>
      </c>
    </row>
    <row r="359">
      <c r="A359" s="2">
        <f t="shared" si="1"/>
        <v>358</v>
      </c>
      <c r="B359" s="3">
        <f t="shared" si="2"/>
        <v>45413</v>
      </c>
      <c r="C359" s="3">
        <f t="shared" si="3"/>
        <v>45422</v>
      </c>
      <c r="D359" s="3" t="str">
        <f t="shared" si="4"/>
        <v>Completed</v>
      </c>
      <c r="E359" s="2">
        <f t="shared" si="5"/>
        <v>9</v>
      </c>
      <c r="F359" s="2" t="str">
        <f t="array" ref="F359">INDEX(lists!F:F,RANDBETWEEN(1,6))
</f>
        <v>Office</v>
      </c>
      <c r="G359" s="2" t="str">
        <f t="array" ref="G359">IFS(
F359="Bedroom",INDEX(lists!G:G,RANDBETWEEN(1,4)),
F359="Living Room",INDEX(lists!H:H,RANDBETWEEN(1,4)),
F359="Dining",INDEX(lists!I:I,RANDBETWEEN(1,2)),
F359="Kitchen",INDEX(lists!J:J,RANDBETWEEN(1,4)),
F359="Office",INDEX(lists!K:K,RANDBETWEEN(1,3)),
F359="Household Essentials",INDEX(lists!L:L,RANDBETWEEN(1,3))
)
</f>
        <v>Desk</v>
      </c>
      <c r="H359" s="2">
        <f t="shared" si="6"/>
        <v>3</v>
      </c>
      <c r="I359" s="2">
        <f t="shared" si="7"/>
        <v>2</v>
      </c>
      <c r="J359" s="2" t="str">
        <f t="array" ref="J359">INDEX(lists!A:A,RANDBETWEEN(1,19))
</f>
        <v>Westbrook Housing</v>
      </c>
      <c r="K359" s="2" t="str">
        <f t="array" ref="K359">INDEX(lists!N:N,RANDBETWEEN(1,6))
</f>
        <v>Portland</v>
      </c>
      <c r="L359" s="2">
        <f t="shared" si="8"/>
        <v>4</v>
      </c>
      <c r="M359" s="2" t="str">
        <f t="array" ref="M359">INDEX(lists!O:O,RANDBETWEEN(1,2))
</f>
        <v>Delivery</v>
      </c>
      <c r="N359" s="2">
        <f t="shared" si="9"/>
        <v>1</v>
      </c>
    </row>
    <row r="360">
      <c r="A360" s="2">
        <f t="shared" si="1"/>
        <v>359</v>
      </c>
      <c r="B360" s="3">
        <f t="shared" si="2"/>
        <v>45577</v>
      </c>
      <c r="C360" s="3">
        <f t="shared" si="3"/>
        <v>45581</v>
      </c>
      <c r="D360" s="3" t="str">
        <f t="shared" si="4"/>
        <v>Completed</v>
      </c>
      <c r="E360" s="2">
        <f t="shared" si="5"/>
        <v>4</v>
      </c>
      <c r="F360" s="2" t="str">
        <f t="array" ref="F360">INDEX(lists!F:F,RANDBETWEEN(1,6))
</f>
        <v>Kitchen</v>
      </c>
      <c r="G360" s="2" t="str">
        <f t="array" ref="G360">IFS(
F360="Bedroom",INDEX(lists!G:G,RANDBETWEEN(1,4)),
F360="Living Room",INDEX(lists!H:H,RANDBETWEEN(1,4)),
F360="Dining",INDEX(lists!I:I,RANDBETWEEN(1,2)),
F360="Kitchen",INDEX(lists!J:J,RANDBETWEEN(1,4)),
F360="Office",INDEX(lists!K:K,RANDBETWEEN(1,3)),
F360="Household Essentials",INDEX(lists!L:L,RANDBETWEEN(1,3))
)
</f>
        <v>Microwave</v>
      </c>
      <c r="H360" s="2">
        <f t="shared" si="6"/>
        <v>4</v>
      </c>
      <c r="I360" s="2">
        <f t="shared" si="7"/>
        <v>3</v>
      </c>
      <c r="J360" s="2" t="str">
        <f t="array" ref="J360">INDEX(lists!A:A,RANDBETWEEN(1,19))
</f>
        <v>EthosVont</v>
      </c>
      <c r="K360" s="2" t="str">
        <f t="array" ref="K360">INDEX(lists!N:N,RANDBETWEEN(1,6))
</f>
        <v>Portland</v>
      </c>
      <c r="L360" s="2">
        <f t="shared" si="8"/>
        <v>1</v>
      </c>
      <c r="M360" s="2" t="str">
        <f t="array" ref="M360">INDEX(lists!O:O,RANDBETWEEN(1,2))
</f>
        <v>Pickup</v>
      </c>
      <c r="N360" s="2">
        <f t="shared" si="9"/>
        <v>5</v>
      </c>
    </row>
    <row r="361">
      <c r="A361" s="2">
        <f t="shared" si="1"/>
        <v>360</v>
      </c>
      <c r="B361" s="3">
        <f t="shared" si="2"/>
        <v>45669</v>
      </c>
      <c r="C361" s="3" t="str">
        <f t="shared" si="3"/>
        <v/>
      </c>
      <c r="D361" s="3" t="str">
        <f t="shared" si="4"/>
        <v>Pending</v>
      </c>
      <c r="E361" s="2" t="str">
        <f t="shared" si="5"/>
        <v/>
      </c>
      <c r="F361" s="2" t="str">
        <f t="array" ref="F361">INDEX(lists!F:F,RANDBETWEEN(1,6))
</f>
        <v>Household Essentials</v>
      </c>
      <c r="G361" s="2" t="str">
        <f t="array" ref="G361">IFS(
F361="Bedroom",INDEX(lists!G:G,RANDBETWEEN(1,4)),
F361="Living Room",INDEX(lists!H:H,RANDBETWEEN(1,4)),
F361="Dining",INDEX(lists!I:I,RANDBETWEEN(1,2)),
F361="Kitchen",INDEX(lists!J:J,RANDBETWEEN(1,4)),
F361="Office",INDEX(lists!K:K,RANDBETWEEN(1,3)),
F361="Household Essentials",INDEX(lists!L:L,RANDBETWEEN(1,3))
)
</f>
        <v>Bedding</v>
      </c>
      <c r="H361" s="2">
        <f t="shared" si="6"/>
        <v>3</v>
      </c>
      <c r="I361" s="2" t="str">
        <f t="shared" si="7"/>
        <v/>
      </c>
      <c r="J361" s="2" t="str">
        <f t="array" ref="J361">INDEX(lists!A:A,RANDBETWEEN(1,19))
</f>
        <v>Systems Engineering</v>
      </c>
      <c r="K361" s="2" t="str">
        <f t="array" ref="K361">INDEX(lists!N:N,RANDBETWEEN(1,6))
</f>
        <v>Falmouth</v>
      </c>
      <c r="L361" s="2">
        <f t="shared" si="8"/>
        <v>1</v>
      </c>
      <c r="M361" s="2" t="str">
        <f t="array" ref="M361">INDEX(lists!O:O,RANDBETWEEN(1,2))
</f>
        <v>Delivery</v>
      </c>
      <c r="N361" s="2">
        <f t="shared" si="9"/>
        <v>5</v>
      </c>
    </row>
    <row r="362">
      <c r="A362" s="2">
        <f t="shared" si="1"/>
        <v>361</v>
      </c>
      <c r="B362" s="3">
        <f t="shared" si="2"/>
        <v>45736</v>
      </c>
      <c r="C362" s="3">
        <f t="shared" si="3"/>
        <v>45746</v>
      </c>
      <c r="D362" s="3" t="str">
        <f t="shared" si="4"/>
        <v>Completed</v>
      </c>
      <c r="E362" s="2">
        <f t="shared" si="5"/>
        <v>10</v>
      </c>
      <c r="F362" s="2" t="str">
        <f t="array" ref="F362">INDEX(lists!F:F,RANDBETWEEN(1,6))
</f>
        <v>Kitchen</v>
      </c>
      <c r="G362" s="2" t="str">
        <f t="array" ref="G362">IFS(
F362="Bedroom",INDEX(lists!G:G,RANDBETWEEN(1,4)),
F362="Living Room",INDEX(lists!H:H,RANDBETWEEN(1,4)),
F362="Dining",INDEX(lists!I:I,RANDBETWEEN(1,2)),
F362="Kitchen",INDEX(lists!J:J,RANDBETWEEN(1,4)),
F362="Office",INDEX(lists!K:K,RANDBETWEEN(1,3)),
F362="Household Essentials",INDEX(lists!L:L,RANDBETWEEN(1,3))
)
</f>
        <v>Pots &amp; Pans</v>
      </c>
      <c r="H362" s="2">
        <f t="shared" si="6"/>
        <v>1</v>
      </c>
      <c r="I362" s="2">
        <f t="shared" si="7"/>
        <v>1</v>
      </c>
      <c r="J362" s="2" t="str">
        <f t="array" ref="J362">INDEX(lists!A:A,RANDBETWEEN(1,19))
</f>
        <v>Shutterbugs 4 Charity</v>
      </c>
      <c r="K362" s="2" t="str">
        <f t="array" ref="K362">INDEX(lists!N:N,RANDBETWEEN(1,6))
</f>
        <v>Biddeford</v>
      </c>
      <c r="L362" s="2">
        <f t="shared" si="8"/>
        <v>3</v>
      </c>
      <c r="M362" s="2" t="str">
        <f t="array" ref="M362">INDEX(lists!O:O,RANDBETWEEN(1,2))
</f>
        <v>Pickup</v>
      </c>
      <c r="N362" s="2">
        <f t="shared" si="9"/>
        <v>5</v>
      </c>
    </row>
    <row r="363">
      <c r="A363" s="2">
        <f t="shared" si="1"/>
        <v>362</v>
      </c>
      <c r="B363" s="3">
        <f t="shared" si="2"/>
        <v>45460</v>
      </c>
      <c r="C363" s="3">
        <f t="shared" si="3"/>
        <v>45474</v>
      </c>
      <c r="D363" s="3" t="str">
        <f t="shared" si="4"/>
        <v>Completed</v>
      </c>
      <c r="E363" s="2">
        <f t="shared" si="5"/>
        <v>14</v>
      </c>
      <c r="F363" s="2" t="str">
        <f t="array" ref="F363">INDEX(lists!F:F,RANDBETWEEN(1,6))
</f>
        <v>Bedroom</v>
      </c>
      <c r="G363" s="2" t="str">
        <f t="array" ref="G363">IFS(
F363="Bedroom",INDEX(lists!G:G,RANDBETWEEN(1,4)),
F363="Living Room",INDEX(lists!H:H,RANDBETWEEN(1,4)),
F363="Dining",INDEX(lists!I:I,RANDBETWEEN(1,2)),
F363="Kitchen",INDEX(lists!J:J,RANDBETWEEN(1,4)),
F363="Office",INDEX(lists!K:K,RANDBETWEEN(1,3)),
F363="Household Essentials",INDEX(lists!L:L,RANDBETWEEN(1,3))
)
</f>
        <v>Mattress</v>
      </c>
      <c r="H363" s="2">
        <f t="shared" si="6"/>
        <v>3</v>
      </c>
      <c r="I363" s="2">
        <f t="shared" si="7"/>
        <v>3</v>
      </c>
      <c r="J363" s="2" t="str">
        <f t="array" ref="J363">INDEX(lists!A:A,RANDBETWEEN(1,19))
</f>
        <v>Coffee By Design</v>
      </c>
      <c r="K363" s="2" t="str">
        <f t="array" ref="K363">INDEX(lists!N:N,RANDBETWEEN(1,6))
</f>
        <v>Scarborough</v>
      </c>
      <c r="L363" s="2">
        <f t="shared" si="8"/>
        <v>6</v>
      </c>
      <c r="M363" s="2" t="str">
        <f t="array" ref="M363">INDEX(lists!O:O,RANDBETWEEN(1,2))
</f>
        <v>Pickup</v>
      </c>
      <c r="N363" s="2">
        <f t="shared" si="9"/>
        <v>5</v>
      </c>
    </row>
    <row r="364">
      <c r="A364" s="2">
        <f t="shared" si="1"/>
        <v>363</v>
      </c>
      <c r="B364" s="3">
        <f t="shared" si="2"/>
        <v>45686</v>
      </c>
      <c r="C364" s="3">
        <f t="shared" si="3"/>
        <v>45695</v>
      </c>
      <c r="D364" s="3" t="str">
        <f t="shared" si="4"/>
        <v>Completed</v>
      </c>
      <c r="E364" s="2">
        <f t="shared" si="5"/>
        <v>9</v>
      </c>
      <c r="F364" s="2" t="str">
        <f t="array" ref="F364">INDEX(lists!F:F,RANDBETWEEN(1,6))
</f>
        <v>Kitchen</v>
      </c>
      <c r="G364" s="2" t="str">
        <f t="array" ref="G364">IFS(
F364="Bedroom",INDEX(lists!G:G,RANDBETWEEN(1,4)),
F364="Living Room",INDEX(lists!H:H,RANDBETWEEN(1,4)),
F364="Dining",INDEX(lists!I:I,RANDBETWEEN(1,2)),
F364="Kitchen",INDEX(lists!J:J,RANDBETWEEN(1,4)),
F364="Office",INDEX(lists!K:K,RANDBETWEEN(1,3)),
F364="Household Essentials",INDEX(lists!L:L,RANDBETWEEN(1,3))
)
</f>
        <v>Microwave</v>
      </c>
      <c r="H364" s="2">
        <f t="shared" si="6"/>
        <v>3</v>
      </c>
      <c r="I364" s="2">
        <f t="shared" si="7"/>
        <v>2</v>
      </c>
      <c r="J364" s="2" t="str">
        <f t="array" ref="J364">INDEX(lists!A:A,RANDBETWEEN(1,19))
</f>
        <v>Jordan's Furniture</v>
      </c>
      <c r="K364" s="2" t="str">
        <f t="array" ref="K364">INDEX(lists!N:N,RANDBETWEEN(1,6))
</f>
        <v>Scarborough</v>
      </c>
      <c r="L364" s="2">
        <f t="shared" si="8"/>
        <v>5</v>
      </c>
      <c r="M364" s="2" t="str">
        <f t="array" ref="M364">INDEX(lists!O:O,RANDBETWEEN(1,2))
</f>
        <v>Delivery</v>
      </c>
      <c r="N364" s="2">
        <f t="shared" si="9"/>
        <v>6</v>
      </c>
    </row>
    <row r="365">
      <c r="A365" s="2">
        <f t="shared" si="1"/>
        <v>364</v>
      </c>
      <c r="B365" s="3">
        <f t="shared" si="2"/>
        <v>45709</v>
      </c>
      <c r="C365" s="3">
        <f t="shared" si="3"/>
        <v>45723</v>
      </c>
      <c r="D365" s="3" t="str">
        <f t="shared" si="4"/>
        <v>Completed</v>
      </c>
      <c r="E365" s="2">
        <f t="shared" si="5"/>
        <v>14</v>
      </c>
      <c r="F365" s="2" t="str">
        <f t="array" ref="F365">INDEX(lists!F:F,RANDBETWEEN(1,6))
</f>
        <v>Kitchen</v>
      </c>
      <c r="G365" s="2" t="str">
        <f t="array" ref="G365">IFS(
F365="Bedroom",INDEX(lists!G:G,RANDBETWEEN(1,4)),
F365="Living Room",INDEX(lists!H:H,RANDBETWEEN(1,4)),
F365="Dining",INDEX(lists!I:I,RANDBETWEEN(1,2)),
F365="Kitchen",INDEX(lists!J:J,RANDBETWEEN(1,4)),
F365="Office",INDEX(lists!K:K,RANDBETWEEN(1,3)),
F365="Household Essentials",INDEX(lists!L:L,RANDBETWEEN(1,3))
)
</f>
        <v>Microwave</v>
      </c>
      <c r="H365" s="2">
        <f t="shared" si="6"/>
        <v>1</v>
      </c>
      <c r="I365" s="2">
        <f t="shared" si="7"/>
        <v>1</v>
      </c>
      <c r="J365" s="2" t="str">
        <f t="array" ref="J365">INDEX(lists!A:A,RANDBETWEEN(1,19))
</f>
        <v>Portland Harbor Group Raymond James</v>
      </c>
      <c r="K365" s="2" t="str">
        <f t="array" ref="K365">INDEX(lists!N:N,RANDBETWEEN(1,6))
</f>
        <v>Falmouth</v>
      </c>
      <c r="L365" s="2">
        <f t="shared" si="8"/>
        <v>5</v>
      </c>
      <c r="M365" s="2" t="str">
        <f t="array" ref="M365">INDEX(lists!O:O,RANDBETWEEN(1,2))
</f>
        <v>Delivery</v>
      </c>
      <c r="N365" s="2">
        <f t="shared" si="9"/>
        <v>4</v>
      </c>
    </row>
    <row r="366">
      <c r="A366" s="2">
        <f t="shared" si="1"/>
        <v>365</v>
      </c>
      <c r="B366" s="3">
        <f t="shared" si="2"/>
        <v>45397</v>
      </c>
      <c r="C366" s="3">
        <f t="shared" si="3"/>
        <v>45408</v>
      </c>
      <c r="D366" s="3" t="str">
        <f t="shared" si="4"/>
        <v>Completed</v>
      </c>
      <c r="E366" s="2">
        <f t="shared" si="5"/>
        <v>11</v>
      </c>
      <c r="F366" s="2" t="str">
        <f t="array" ref="F366">INDEX(lists!F:F,RANDBETWEEN(1,6))
</f>
        <v>Household Essentials</v>
      </c>
      <c r="G366" s="2" t="str">
        <f t="array" ref="G366">IFS(
F366="Bedroom",INDEX(lists!G:G,RANDBETWEEN(1,4)),
F366="Living Room",INDEX(lists!H:H,RANDBETWEEN(1,4)),
F366="Dining",INDEX(lists!I:I,RANDBETWEEN(1,2)),
F366="Kitchen",INDEX(lists!J:J,RANDBETWEEN(1,4)),
F366="Office",INDEX(lists!K:K,RANDBETWEEN(1,3)),
F366="Household Essentials",INDEX(lists!L:L,RANDBETWEEN(1,3))
)
</f>
        <v>Lamps</v>
      </c>
      <c r="H366" s="2">
        <f t="shared" si="6"/>
        <v>3</v>
      </c>
      <c r="I366" s="2">
        <f t="shared" si="7"/>
        <v>2</v>
      </c>
      <c r="J366" s="2" t="str">
        <f t="array" ref="J366">INDEX(lists!A:A,RANDBETWEEN(1,19))
</f>
        <v>Maine Community Bank</v>
      </c>
      <c r="K366" s="2" t="str">
        <f t="array" ref="K366">INDEX(lists!N:N,RANDBETWEEN(1,6))
</f>
        <v>South Portland</v>
      </c>
      <c r="L366" s="2">
        <f t="shared" si="8"/>
        <v>2</v>
      </c>
      <c r="M366" s="2" t="str">
        <f t="array" ref="M366">INDEX(lists!O:O,RANDBETWEEN(1,2))
</f>
        <v>Pickup</v>
      </c>
      <c r="N366" s="2">
        <f t="shared" si="9"/>
        <v>2</v>
      </c>
    </row>
    <row r="367">
      <c r="A367" s="2">
        <f t="shared" si="1"/>
        <v>366</v>
      </c>
      <c r="B367" s="3">
        <f t="shared" si="2"/>
        <v>45755</v>
      </c>
      <c r="C367" s="3">
        <f t="shared" si="3"/>
        <v>45762</v>
      </c>
      <c r="D367" s="3" t="str">
        <f t="shared" si="4"/>
        <v>Completed</v>
      </c>
      <c r="E367" s="2">
        <f t="shared" si="5"/>
        <v>7</v>
      </c>
      <c r="F367" s="2" t="str">
        <f t="array" ref="F367">INDEX(lists!F:F,RANDBETWEEN(1,6))
</f>
        <v>Kitchen</v>
      </c>
      <c r="G367" s="2" t="str">
        <f t="array" ref="G367">IFS(
F367="Bedroom",INDEX(lists!G:G,RANDBETWEEN(1,4)),
F367="Living Room",INDEX(lists!H:H,RANDBETWEEN(1,4)),
F367="Dining",INDEX(lists!I:I,RANDBETWEEN(1,2)),
F367="Kitchen",INDEX(lists!J:J,RANDBETWEEN(1,4)),
F367="Office",INDEX(lists!K:K,RANDBETWEEN(1,3)),
F367="Household Essentials",INDEX(lists!L:L,RANDBETWEEN(1,3))
)
</f>
        <v>Dishes</v>
      </c>
      <c r="H367" s="2">
        <f t="shared" si="6"/>
        <v>4</v>
      </c>
      <c r="I367" s="2">
        <f t="shared" si="7"/>
        <v>2</v>
      </c>
      <c r="J367" s="2" t="str">
        <f t="array" ref="J367">INDEX(lists!A:A,RANDBETWEEN(1,19))
</f>
        <v>Keybank</v>
      </c>
      <c r="K367" s="2" t="str">
        <f t="array" ref="K367">INDEX(lists!N:N,RANDBETWEEN(1,6))
</f>
        <v>Scarborough</v>
      </c>
      <c r="L367" s="2">
        <f t="shared" si="8"/>
        <v>4</v>
      </c>
      <c r="M367" s="2" t="str">
        <f t="array" ref="M367">INDEX(lists!O:O,RANDBETWEEN(1,2))
</f>
        <v>Pickup</v>
      </c>
      <c r="N367" s="2">
        <f t="shared" si="9"/>
        <v>2</v>
      </c>
    </row>
    <row r="368">
      <c r="A368" s="2">
        <f t="shared" si="1"/>
        <v>367</v>
      </c>
      <c r="B368" s="3">
        <f t="shared" si="2"/>
        <v>45547</v>
      </c>
      <c r="C368" s="3">
        <f t="shared" si="3"/>
        <v>45550</v>
      </c>
      <c r="D368" s="3" t="str">
        <f t="shared" si="4"/>
        <v>Completed</v>
      </c>
      <c r="E368" s="2">
        <f t="shared" si="5"/>
        <v>3</v>
      </c>
      <c r="F368" s="2" t="str">
        <f t="array" ref="F368">INDEX(lists!F:F,RANDBETWEEN(1,6))
</f>
        <v>Office</v>
      </c>
      <c r="G368" s="2" t="str">
        <f t="array" ref="G368">IFS(
F368="Bedroom",INDEX(lists!G:G,RANDBETWEEN(1,4)),
F368="Living Room",INDEX(lists!H:H,RANDBETWEEN(1,4)),
F368="Dining",INDEX(lists!I:I,RANDBETWEEN(1,2)),
F368="Kitchen",INDEX(lists!J:J,RANDBETWEEN(1,4)),
F368="Office",INDEX(lists!K:K,RANDBETWEEN(1,3)),
F368="Household Essentials",INDEX(lists!L:L,RANDBETWEEN(1,3))
)
</f>
        <v>Office Chair</v>
      </c>
      <c r="H368" s="2">
        <f t="shared" si="6"/>
        <v>1</v>
      </c>
      <c r="I368" s="2">
        <f t="shared" si="7"/>
        <v>1</v>
      </c>
      <c r="J368" s="2" t="str">
        <f t="array" ref="J368">INDEX(lists!A:A,RANDBETWEEN(1,19))
</f>
        <v>Coffee By Design</v>
      </c>
      <c r="K368" s="2" t="str">
        <f t="array" ref="K368">INDEX(lists!N:N,RANDBETWEEN(1,6))
</f>
        <v>Portland</v>
      </c>
      <c r="L368" s="2">
        <f t="shared" si="8"/>
        <v>3</v>
      </c>
      <c r="M368" s="2" t="str">
        <f t="array" ref="M368">INDEX(lists!O:O,RANDBETWEEN(1,2))
</f>
        <v>Pickup</v>
      </c>
      <c r="N368" s="2">
        <f t="shared" si="9"/>
        <v>5</v>
      </c>
    </row>
    <row r="369">
      <c r="A369" s="2">
        <f t="shared" si="1"/>
        <v>368</v>
      </c>
      <c r="B369" s="3">
        <f t="shared" si="2"/>
        <v>45584</v>
      </c>
      <c r="C369" s="3">
        <f t="shared" si="3"/>
        <v>45594</v>
      </c>
      <c r="D369" s="3" t="str">
        <f t="shared" si="4"/>
        <v>Completed</v>
      </c>
      <c r="E369" s="2">
        <f t="shared" si="5"/>
        <v>10</v>
      </c>
      <c r="F369" s="2" t="str">
        <f t="array" ref="F369">INDEX(lists!F:F,RANDBETWEEN(1,6))
</f>
        <v>Kitchen</v>
      </c>
      <c r="G369" s="2" t="str">
        <f t="array" ref="G369">IFS(
F369="Bedroom",INDEX(lists!G:G,RANDBETWEEN(1,4)),
F369="Living Room",INDEX(lists!H:H,RANDBETWEEN(1,4)),
F369="Dining",INDEX(lists!I:I,RANDBETWEEN(1,2)),
F369="Kitchen",INDEX(lists!J:J,RANDBETWEEN(1,4)),
F369="Office",INDEX(lists!K:K,RANDBETWEEN(1,3)),
F369="Household Essentials",INDEX(lists!L:L,RANDBETWEEN(1,3))
)
</f>
        <v>Pots &amp; Pans</v>
      </c>
      <c r="H369" s="2">
        <f t="shared" si="6"/>
        <v>2</v>
      </c>
      <c r="I369" s="2">
        <f t="shared" si="7"/>
        <v>1</v>
      </c>
      <c r="J369" s="2" t="str">
        <f t="array" ref="J369">INDEX(lists!A:A,RANDBETWEEN(1,19))
</f>
        <v>Saco &amp; Biddeford Savings</v>
      </c>
      <c r="K369" s="2" t="str">
        <f t="array" ref="K369">INDEX(lists!N:N,RANDBETWEEN(1,6))
</f>
        <v>Portland</v>
      </c>
      <c r="L369" s="2">
        <f t="shared" si="8"/>
        <v>5</v>
      </c>
      <c r="M369" s="2" t="str">
        <f t="array" ref="M369">INDEX(lists!O:O,RANDBETWEEN(1,2))
</f>
        <v>Delivery</v>
      </c>
      <c r="N369" s="2">
        <f t="shared" si="9"/>
        <v>4</v>
      </c>
    </row>
    <row r="370">
      <c r="A370" s="2">
        <f t="shared" si="1"/>
        <v>369</v>
      </c>
      <c r="B370" s="3">
        <f t="shared" si="2"/>
        <v>45329</v>
      </c>
      <c r="C370" s="3">
        <f t="shared" si="3"/>
        <v>45347</v>
      </c>
      <c r="D370" s="3" t="str">
        <f t="shared" si="4"/>
        <v>Completed</v>
      </c>
      <c r="E370" s="2">
        <f t="shared" si="5"/>
        <v>18</v>
      </c>
      <c r="F370" s="2" t="str">
        <f t="array" ref="F370">INDEX(lists!F:F,RANDBETWEEN(1,6))
</f>
        <v>Kitchen</v>
      </c>
      <c r="G370" s="2" t="str">
        <f t="array" ref="G370">IFS(
F370="Bedroom",INDEX(lists!G:G,RANDBETWEEN(1,4)),
F370="Living Room",INDEX(lists!H:H,RANDBETWEEN(1,4)),
F370="Dining",INDEX(lists!I:I,RANDBETWEEN(1,2)),
F370="Kitchen",INDEX(lists!J:J,RANDBETWEEN(1,4)),
F370="Office",INDEX(lists!K:K,RANDBETWEEN(1,3)),
F370="Household Essentials",INDEX(lists!L:L,RANDBETWEEN(1,3))
)
</f>
        <v>Pots &amp; Pans</v>
      </c>
      <c r="H370" s="2">
        <f t="shared" si="6"/>
        <v>2</v>
      </c>
      <c r="I370" s="2">
        <f t="shared" si="7"/>
        <v>2</v>
      </c>
      <c r="J370" s="2" t="str">
        <f t="array" ref="J370">INDEX(lists!A:A,RANDBETWEEN(1,19))
</f>
        <v>Maine Community Bank</v>
      </c>
      <c r="K370" s="2" t="str">
        <f t="array" ref="K370">INDEX(lists!N:N,RANDBETWEEN(1,6))
</f>
        <v>Biddeford</v>
      </c>
      <c r="L370" s="2">
        <f t="shared" si="8"/>
        <v>1</v>
      </c>
      <c r="M370" s="2" t="str">
        <f t="array" ref="M370">INDEX(lists!O:O,RANDBETWEEN(1,2))
</f>
        <v>Delivery</v>
      </c>
      <c r="N370" s="2">
        <f t="shared" si="9"/>
        <v>4</v>
      </c>
    </row>
    <row r="371">
      <c r="A371" s="2">
        <f t="shared" si="1"/>
        <v>370</v>
      </c>
      <c r="B371" s="3">
        <f t="shared" si="2"/>
        <v>45664</v>
      </c>
      <c r="C371" s="3">
        <f t="shared" si="3"/>
        <v>45666</v>
      </c>
      <c r="D371" s="3" t="str">
        <f t="shared" si="4"/>
        <v>Completed</v>
      </c>
      <c r="E371" s="2">
        <f t="shared" si="5"/>
        <v>2</v>
      </c>
      <c r="F371" s="2" t="str">
        <f t="array" ref="F371">INDEX(lists!F:F,RANDBETWEEN(1,6))
</f>
        <v>Dining</v>
      </c>
      <c r="G371" s="2" t="str">
        <f t="array" ref="G371">IFS(
F371="Bedroom",INDEX(lists!G:G,RANDBETWEEN(1,4)),
F371="Living Room",INDEX(lists!H:H,RANDBETWEEN(1,4)),
F371="Dining",INDEX(lists!I:I,RANDBETWEEN(1,2)),
F371="Kitchen",INDEX(lists!J:J,RANDBETWEEN(1,4)),
F371="Office",INDEX(lists!K:K,RANDBETWEEN(1,3)),
F371="Household Essentials",INDEX(lists!L:L,RANDBETWEEN(1,3))
)
</f>
        <v>Dining Table</v>
      </c>
      <c r="H371" s="2">
        <f t="shared" si="6"/>
        <v>2</v>
      </c>
      <c r="I371" s="2">
        <f t="shared" si="7"/>
        <v>1</v>
      </c>
      <c r="J371" s="2" t="str">
        <f t="array" ref="J371">INDEX(lists!A:A,RANDBETWEEN(1,19))
</f>
        <v>EthosVont</v>
      </c>
      <c r="K371" s="2" t="str">
        <f t="array" ref="K371">INDEX(lists!N:N,RANDBETWEEN(1,6))
</f>
        <v>Falmouth</v>
      </c>
      <c r="L371" s="2">
        <f t="shared" si="8"/>
        <v>2</v>
      </c>
      <c r="M371" s="2" t="str">
        <f t="array" ref="M371">INDEX(lists!O:O,RANDBETWEEN(1,2))
</f>
        <v>Pickup</v>
      </c>
      <c r="N371" s="2">
        <f t="shared" si="9"/>
        <v>4</v>
      </c>
    </row>
    <row r="372">
      <c r="A372" s="2">
        <f t="shared" si="1"/>
        <v>371</v>
      </c>
      <c r="B372" s="3">
        <f t="shared" si="2"/>
        <v>45751</v>
      </c>
      <c r="C372" s="3">
        <f t="shared" si="3"/>
        <v>45752</v>
      </c>
      <c r="D372" s="3" t="str">
        <f t="shared" si="4"/>
        <v>Completed</v>
      </c>
      <c r="E372" s="2">
        <f t="shared" si="5"/>
        <v>1</v>
      </c>
      <c r="F372" s="2" t="str">
        <f t="array" ref="F372">INDEX(lists!F:F,RANDBETWEEN(1,6))
</f>
        <v>Dining</v>
      </c>
      <c r="G372" s="2" t="str">
        <f t="array" ref="G372">IFS(
F372="Bedroom",INDEX(lists!G:G,RANDBETWEEN(1,4)),
F372="Living Room",INDEX(lists!H:H,RANDBETWEEN(1,4)),
F372="Dining",INDEX(lists!I:I,RANDBETWEEN(1,2)),
F372="Kitchen",INDEX(lists!J:J,RANDBETWEEN(1,4)),
F372="Office",INDEX(lists!K:K,RANDBETWEEN(1,3)),
F372="Household Essentials",INDEX(lists!L:L,RANDBETWEEN(1,3))
)
</f>
        <v>Dining Chair</v>
      </c>
      <c r="H372" s="2">
        <f t="shared" si="6"/>
        <v>4</v>
      </c>
      <c r="I372" s="2">
        <f t="shared" si="7"/>
        <v>3</v>
      </c>
      <c r="J372" s="2" t="str">
        <f t="array" ref="J372">INDEX(lists!A:A,RANDBETWEEN(1,19))
</f>
        <v>Systems Engineering</v>
      </c>
      <c r="K372" s="2" t="str">
        <f t="array" ref="K372">INDEX(lists!N:N,RANDBETWEEN(1,6))
</f>
        <v>Falmouth</v>
      </c>
      <c r="L372" s="2">
        <f t="shared" si="8"/>
        <v>4</v>
      </c>
      <c r="M372" s="2" t="str">
        <f t="array" ref="M372">INDEX(lists!O:O,RANDBETWEEN(1,2))
</f>
        <v>Delivery</v>
      </c>
      <c r="N372" s="2">
        <f t="shared" si="9"/>
        <v>4</v>
      </c>
    </row>
    <row r="373">
      <c r="A373" s="2">
        <f t="shared" si="1"/>
        <v>372</v>
      </c>
      <c r="B373" s="3">
        <f t="shared" si="2"/>
        <v>45477</v>
      </c>
      <c r="C373" s="3">
        <f t="shared" si="3"/>
        <v>45478</v>
      </c>
      <c r="D373" s="3" t="str">
        <f t="shared" si="4"/>
        <v>Completed</v>
      </c>
      <c r="E373" s="2">
        <f t="shared" si="5"/>
        <v>1</v>
      </c>
      <c r="F373" s="2" t="str">
        <f t="array" ref="F373">INDEX(lists!F:F,RANDBETWEEN(1,6))
</f>
        <v>Office</v>
      </c>
      <c r="G373" s="2" t="str">
        <f t="array" ref="G373">IFS(
F373="Bedroom",INDEX(lists!G:G,RANDBETWEEN(1,4)),
F373="Living Room",INDEX(lists!H:H,RANDBETWEEN(1,4)),
F373="Dining",INDEX(lists!I:I,RANDBETWEEN(1,2)),
F373="Kitchen",INDEX(lists!J:J,RANDBETWEEN(1,4)),
F373="Office",INDEX(lists!K:K,RANDBETWEEN(1,3)),
F373="Household Essentials",INDEX(lists!L:L,RANDBETWEEN(1,3))
)
</f>
        <v>Office Chair</v>
      </c>
      <c r="H373" s="2">
        <f t="shared" si="6"/>
        <v>3</v>
      </c>
      <c r="I373" s="2">
        <f t="shared" si="7"/>
        <v>3</v>
      </c>
      <c r="J373" s="2" t="str">
        <f t="array" ref="J373">INDEX(lists!A:A,RANDBETWEEN(1,19))
</f>
        <v>Westbrook Housing</v>
      </c>
      <c r="K373" s="2" t="str">
        <f t="array" ref="K373">INDEX(lists!N:N,RANDBETWEEN(1,6))
</f>
        <v>Westbrook</v>
      </c>
      <c r="L373" s="2">
        <f t="shared" si="8"/>
        <v>5</v>
      </c>
      <c r="M373" s="2" t="str">
        <f t="array" ref="M373">INDEX(lists!O:O,RANDBETWEEN(1,2))
</f>
        <v>Delivery</v>
      </c>
      <c r="N373" s="2">
        <f t="shared" si="9"/>
        <v>1</v>
      </c>
    </row>
    <row r="374">
      <c r="A374" s="2">
        <f t="shared" si="1"/>
        <v>373</v>
      </c>
      <c r="B374" s="3">
        <f t="shared" si="2"/>
        <v>45496</v>
      </c>
      <c r="C374" s="3">
        <f t="shared" si="3"/>
        <v>45501</v>
      </c>
      <c r="D374" s="3" t="str">
        <f t="shared" si="4"/>
        <v>Completed</v>
      </c>
      <c r="E374" s="2">
        <f t="shared" si="5"/>
        <v>5</v>
      </c>
      <c r="F374" s="2" t="str">
        <f t="array" ref="F374">INDEX(lists!F:F,RANDBETWEEN(1,6))
</f>
        <v>Kitchen</v>
      </c>
      <c r="G374" s="2" t="str">
        <f t="array" ref="G374">IFS(
F374="Bedroom",INDEX(lists!G:G,RANDBETWEEN(1,4)),
F374="Living Room",INDEX(lists!H:H,RANDBETWEEN(1,4)),
F374="Dining",INDEX(lists!I:I,RANDBETWEEN(1,2)),
F374="Kitchen",INDEX(lists!J:J,RANDBETWEEN(1,4)),
F374="Office",INDEX(lists!K:K,RANDBETWEEN(1,3)),
F374="Household Essentials",INDEX(lists!L:L,RANDBETWEEN(1,3))
)
</f>
        <v>Small Appliances</v>
      </c>
      <c r="H374" s="2">
        <f t="shared" si="6"/>
        <v>2</v>
      </c>
      <c r="I374" s="2">
        <f t="shared" si="7"/>
        <v>1</v>
      </c>
      <c r="J374" s="2" t="str">
        <f t="array" ref="J374">INDEX(lists!A:A,RANDBETWEEN(1,19))
</f>
        <v>Portland Mattress Makers</v>
      </c>
      <c r="K374" s="2" t="str">
        <f t="array" ref="K374">INDEX(lists!N:N,RANDBETWEEN(1,6))
</f>
        <v>Scarborough</v>
      </c>
      <c r="L374" s="2">
        <f t="shared" si="8"/>
        <v>2</v>
      </c>
      <c r="M374" s="2" t="str">
        <f t="array" ref="M374">INDEX(lists!O:O,RANDBETWEEN(1,2))
</f>
        <v>Delivery</v>
      </c>
      <c r="N374" s="2">
        <f t="shared" si="9"/>
        <v>6</v>
      </c>
    </row>
    <row r="375">
      <c r="A375" s="2">
        <f t="shared" si="1"/>
        <v>374</v>
      </c>
      <c r="B375" s="3">
        <f t="shared" si="2"/>
        <v>45405</v>
      </c>
      <c r="C375" s="3">
        <f t="shared" si="3"/>
        <v>45409</v>
      </c>
      <c r="D375" s="3" t="str">
        <f t="shared" si="4"/>
        <v>Completed</v>
      </c>
      <c r="E375" s="2">
        <f t="shared" si="5"/>
        <v>4</v>
      </c>
      <c r="F375" s="2" t="str">
        <f t="array" ref="F375">INDEX(lists!F:F,RANDBETWEEN(1,6))
</f>
        <v>Dining</v>
      </c>
      <c r="G375" s="2" t="str">
        <f t="array" ref="G375">IFS(
F375="Bedroom",INDEX(lists!G:G,RANDBETWEEN(1,4)),
F375="Living Room",INDEX(lists!H:H,RANDBETWEEN(1,4)),
F375="Dining",INDEX(lists!I:I,RANDBETWEEN(1,2)),
F375="Kitchen",INDEX(lists!J:J,RANDBETWEEN(1,4)),
F375="Office",INDEX(lists!K:K,RANDBETWEEN(1,3)),
F375="Household Essentials",INDEX(lists!L:L,RANDBETWEEN(1,3))
)
</f>
        <v>Dining Table</v>
      </c>
      <c r="H375" s="2">
        <f t="shared" si="6"/>
        <v>4</v>
      </c>
      <c r="I375" s="2">
        <f t="shared" si="7"/>
        <v>4</v>
      </c>
      <c r="J375" s="2" t="str">
        <f t="array" ref="J375">INDEX(lists!A:A,RANDBETWEEN(1,19))
</f>
        <v>Saco &amp; Biddeford Savings</v>
      </c>
      <c r="K375" s="2" t="str">
        <f t="array" ref="K375">INDEX(lists!N:N,RANDBETWEEN(1,6))
</f>
        <v>South Portland</v>
      </c>
      <c r="L375" s="2">
        <f t="shared" si="8"/>
        <v>2</v>
      </c>
      <c r="M375" s="2" t="str">
        <f t="array" ref="M375">INDEX(lists!O:O,RANDBETWEEN(1,2))
</f>
        <v>Delivery</v>
      </c>
      <c r="N375" s="2">
        <f t="shared" si="9"/>
        <v>6</v>
      </c>
    </row>
    <row r="376">
      <c r="A376" s="2">
        <f t="shared" si="1"/>
        <v>375</v>
      </c>
      <c r="B376" s="3">
        <f t="shared" si="2"/>
        <v>45579</v>
      </c>
      <c r="C376" s="3">
        <f t="shared" si="3"/>
        <v>45583</v>
      </c>
      <c r="D376" s="3" t="str">
        <f t="shared" si="4"/>
        <v>Completed</v>
      </c>
      <c r="E376" s="2">
        <f t="shared" si="5"/>
        <v>4</v>
      </c>
      <c r="F376" s="2" t="str">
        <f t="array" ref="F376">INDEX(lists!F:F,RANDBETWEEN(1,6))
</f>
        <v>Bedroom</v>
      </c>
      <c r="G376" s="2" t="str">
        <f t="array" ref="G376">IFS(
F376="Bedroom",INDEX(lists!G:G,RANDBETWEEN(1,4)),
F376="Living Room",INDEX(lists!H:H,RANDBETWEEN(1,4)),
F376="Dining",INDEX(lists!I:I,RANDBETWEEN(1,2)),
F376="Kitchen",INDEX(lists!J:J,RANDBETWEEN(1,4)),
F376="Office",INDEX(lists!K:K,RANDBETWEEN(1,3)),
F376="Household Essentials",INDEX(lists!L:L,RANDBETWEEN(1,3))
)
</f>
        <v>Bed Frame</v>
      </c>
      <c r="H376" s="2">
        <f t="shared" si="6"/>
        <v>4</v>
      </c>
      <c r="I376" s="2">
        <f t="shared" si="7"/>
        <v>1</v>
      </c>
      <c r="J376" s="2" t="str">
        <f t="array" ref="J376">INDEX(lists!A:A,RANDBETWEEN(1,19))
</f>
        <v>Spiritual Workers</v>
      </c>
      <c r="K376" s="2" t="str">
        <f t="array" ref="K376">INDEX(lists!N:N,RANDBETWEEN(1,6))
</f>
        <v>Portland</v>
      </c>
      <c r="L376" s="2">
        <f t="shared" si="8"/>
        <v>5</v>
      </c>
      <c r="M376" s="2" t="str">
        <f t="array" ref="M376">INDEX(lists!O:O,RANDBETWEEN(1,2))
</f>
        <v>Delivery</v>
      </c>
      <c r="N376" s="2">
        <f t="shared" si="9"/>
        <v>6</v>
      </c>
    </row>
    <row r="377">
      <c r="A377" s="2">
        <f t="shared" si="1"/>
        <v>376</v>
      </c>
      <c r="B377" s="3">
        <f t="shared" si="2"/>
        <v>45555</v>
      </c>
      <c r="C377" s="3">
        <f t="shared" si="3"/>
        <v>45562</v>
      </c>
      <c r="D377" s="3" t="str">
        <f t="shared" si="4"/>
        <v>Completed</v>
      </c>
      <c r="E377" s="2">
        <f t="shared" si="5"/>
        <v>7</v>
      </c>
      <c r="F377" s="2" t="str">
        <f t="array" ref="F377">INDEX(lists!F:F,RANDBETWEEN(1,6))
</f>
        <v>Dining</v>
      </c>
      <c r="G377" s="2" t="str">
        <f t="array" ref="G377">IFS(
F377="Bedroom",INDEX(lists!G:G,RANDBETWEEN(1,4)),
F377="Living Room",INDEX(lists!H:H,RANDBETWEEN(1,4)),
F377="Dining",INDEX(lists!I:I,RANDBETWEEN(1,2)),
F377="Kitchen",INDEX(lists!J:J,RANDBETWEEN(1,4)),
F377="Office",INDEX(lists!K:K,RANDBETWEEN(1,3)),
F377="Household Essentials",INDEX(lists!L:L,RANDBETWEEN(1,3))
)
</f>
        <v>Dining Chair</v>
      </c>
      <c r="H377" s="2">
        <f t="shared" si="6"/>
        <v>4</v>
      </c>
      <c r="I377" s="2">
        <f t="shared" si="7"/>
        <v>2</v>
      </c>
      <c r="J377" s="2" t="str">
        <f t="array" ref="J377">INDEX(lists!A:A,RANDBETWEEN(1,19))
</f>
        <v>Westbrook Housing</v>
      </c>
      <c r="K377" s="2" t="str">
        <f t="array" ref="K377">INDEX(lists!N:N,RANDBETWEEN(1,6))
</f>
        <v>Scarborough</v>
      </c>
      <c r="L377" s="2">
        <f t="shared" si="8"/>
        <v>2</v>
      </c>
      <c r="M377" s="2" t="str">
        <f t="array" ref="M377">INDEX(lists!O:O,RANDBETWEEN(1,2))
</f>
        <v>Pickup</v>
      </c>
      <c r="N377" s="2">
        <f t="shared" si="9"/>
        <v>1</v>
      </c>
    </row>
    <row r="378">
      <c r="A378" s="2">
        <f t="shared" si="1"/>
        <v>377</v>
      </c>
      <c r="B378" s="3">
        <f t="shared" si="2"/>
        <v>45392</v>
      </c>
      <c r="C378" s="3">
        <f t="shared" si="3"/>
        <v>45397</v>
      </c>
      <c r="D378" s="3" t="str">
        <f t="shared" si="4"/>
        <v>Completed</v>
      </c>
      <c r="E378" s="2">
        <f t="shared" si="5"/>
        <v>5</v>
      </c>
      <c r="F378" s="2" t="str">
        <f t="array" ref="F378">INDEX(lists!F:F,RANDBETWEEN(1,6))
</f>
        <v>Living Room</v>
      </c>
      <c r="G378" s="2" t="str">
        <f t="array" ref="G378">IFS(
F378="Bedroom",INDEX(lists!G:G,RANDBETWEEN(1,4)),
F378="Living Room",INDEX(lists!H:H,RANDBETWEEN(1,4)),
F378="Dining",INDEX(lists!I:I,RANDBETWEEN(1,2)),
F378="Kitchen",INDEX(lists!J:J,RANDBETWEEN(1,4)),
F378="Office",INDEX(lists!K:K,RANDBETWEEN(1,3)),
F378="Household Essentials",INDEX(lists!L:L,RANDBETWEEN(1,3))
)
</f>
        <v>Sofa</v>
      </c>
      <c r="H378" s="2">
        <f t="shared" si="6"/>
        <v>3</v>
      </c>
      <c r="I378" s="2">
        <f t="shared" si="7"/>
        <v>3</v>
      </c>
      <c r="J378" s="2" t="str">
        <f t="array" ref="J378">INDEX(lists!A:A,RANDBETWEEN(1,19))
</f>
        <v>Center for Real Estate Studies</v>
      </c>
      <c r="K378" s="2" t="str">
        <f t="array" ref="K378">INDEX(lists!N:N,RANDBETWEEN(1,6))
</f>
        <v>Falmouth</v>
      </c>
      <c r="L378" s="2">
        <f t="shared" si="8"/>
        <v>4</v>
      </c>
      <c r="M378" s="2" t="str">
        <f t="array" ref="M378">INDEX(lists!O:O,RANDBETWEEN(1,2))
</f>
        <v>Delivery</v>
      </c>
      <c r="N378" s="2">
        <f t="shared" si="9"/>
        <v>2</v>
      </c>
    </row>
    <row r="379">
      <c r="A379" s="2">
        <f t="shared" si="1"/>
        <v>378</v>
      </c>
      <c r="B379" s="3">
        <f t="shared" si="2"/>
        <v>45296</v>
      </c>
      <c r="C379" s="3" t="str">
        <f t="shared" si="3"/>
        <v/>
      </c>
      <c r="D379" s="3" t="str">
        <f t="shared" si="4"/>
        <v>Pending</v>
      </c>
      <c r="E379" s="2" t="str">
        <f t="shared" si="5"/>
        <v/>
      </c>
      <c r="F379" s="2" t="str">
        <f t="array" ref="F379">INDEX(lists!F:F,RANDBETWEEN(1,6))
</f>
        <v>Dining</v>
      </c>
      <c r="G379" s="2" t="str">
        <f t="array" ref="G379">IFS(
F379="Bedroom",INDEX(lists!G:G,RANDBETWEEN(1,4)),
F379="Living Room",INDEX(lists!H:H,RANDBETWEEN(1,4)),
F379="Dining",INDEX(lists!I:I,RANDBETWEEN(1,2)),
F379="Kitchen",INDEX(lists!J:J,RANDBETWEEN(1,4)),
F379="Office",INDEX(lists!K:K,RANDBETWEEN(1,3)),
F379="Household Essentials",INDEX(lists!L:L,RANDBETWEEN(1,3))
)
</f>
        <v>Dining Table</v>
      </c>
      <c r="H379" s="2">
        <f t="shared" si="6"/>
        <v>3</v>
      </c>
      <c r="I379" s="2" t="str">
        <f t="shared" si="7"/>
        <v/>
      </c>
      <c r="J379" s="2" t="str">
        <f t="array" ref="J379">INDEX(lists!A:A,RANDBETWEEN(1,19))
</f>
        <v>Diversified</v>
      </c>
      <c r="K379" s="2" t="str">
        <f t="array" ref="K379">INDEX(lists!N:N,RANDBETWEEN(1,6))
</f>
        <v>Westbrook</v>
      </c>
      <c r="L379" s="2">
        <f t="shared" si="8"/>
        <v>6</v>
      </c>
      <c r="M379" s="2" t="str">
        <f t="array" ref="M379">INDEX(lists!O:O,RANDBETWEEN(1,2))
</f>
        <v>Delivery</v>
      </c>
      <c r="N379" s="2">
        <f t="shared" si="9"/>
        <v>1</v>
      </c>
    </row>
    <row r="380">
      <c r="A380" s="2">
        <f t="shared" si="1"/>
        <v>379</v>
      </c>
      <c r="B380" s="3">
        <f t="shared" si="2"/>
        <v>45808</v>
      </c>
      <c r="C380" s="3" t="str">
        <f t="shared" si="3"/>
        <v/>
      </c>
      <c r="D380" s="3" t="str">
        <f t="shared" si="4"/>
        <v>Pending</v>
      </c>
      <c r="E380" s="2" t="str">
        <f t="shared" si="5"/>
        <v/>
      </c>
      <c r="F380" s="2" t="str">
        <f t="array" ref="F380">INDEX(lists!F:F,RANDBETWEEN(1,6))
</f>
        <v>Dining</v>
      </c>
      <c r="G380" s="2" t="str">
        <f t="array" ref="G380">IFS(
F380="Bedroom",INDEX(lists!G:G,RANDBETWEEN(1,4)),
F380="Living Room",INDEX(lists!H:H,RANDBETWEEN(1,4)),
F380="Dining",INDEX(lists!I:I,RANDBETWEEN(1,2)),
F380="Kitchen",INDEX(lists!J:J,RANDBETWEEN(1,4)),
F380="Office",INDEX(lists!K:K,RANDBETWEEN(1,3)),
F380="Household Essentials",INDEX(lists!L:L,RANDBETWEEN(1,3))
)
</f>
        <v>Dining Table</v>
      </c>
      <c r="H380" s="2">
        <f t="shared" si="6"/>
        <v>1</v>
      </c>
      <c r="I380" s="2" t="str">
        <f t="shared" si="7"/>
        <v/>
      </c>
      <c r="J380" s="2" t="str">
        <f t="array" ref="J380">INDEX(lists!A:A,RANDBETWEEN(1,19))
</f>
        <v>Coffee By Design</v>
      </c>
      <c r="K380" s="2" t="str">
        <f t="array" ref="K380">INDEX(lists!N:N,RANDBETWEEN(1,6))
</f>
        <v>Falmouth</v>
      </c>
      <c r="L380" s="2">
        <f t="shared" si="8"/>
        <v>3</v>
      </c>
      <c r="M380" s="2" t="str">
        <f t="array" ref="M380">INDEX(lists!O:O,RANDBETWEEN(1,2))
</f>
        <v>Delivery</v>
      </c>
      <c r="N380" s="2">
        <f t="shared" si="9"/>
        <v>4</v>
      </c>
    </row>
    <row r="381">
      <c r="A381" s="2">
        <f t="shared" si="1"/>
        <v>380</v>
      </c>
      <c r="B381" s="3">
        <f t="shared" si="2"/>
        <v>45308</v>
      </c>
      <c r="C381" s="3" t="str">
        <f t="shared" si="3"/>
        <v/>
      </c>
      <c r="D381" s="3" t="str">
        <f t="shared" si="4"/>
        <v>Pending</v>
      </c>
      <c r="E381" s="2" t="str">
        <f t="shared" si="5"/>
        <v/>
      </c>
      <c r="F381" s="2" t="str">
        <f t="array" ref="F381">INDEX(lists!F:F,RANDBETWEEN(1,6))
</f>
        <v>Living Room</v>
      </c>
      <c r="G381" s="2" t="str">
        <f t="array" ref="G381">IFS(
F381="Bedroom",INDEX(lists!G:G,RANDBETWEEN(1,4)),
F381="Living Room",INDEX(lists!H:H,RANDBETWEEN(1,4)),
F381="Dining",INDEX(lists!I:I,RANDBETWEEN(1,2)),
F381="Kitchen",INDEX(lists!J:J,RANDBETWEEN(1,4)),
F381="Office",INDEX(lists!K:K,RANDBETWEEN(1,3)),
F381="Household Essentials",INDEX(lists!L:L,RANDBETWEEN(1,3))
)
</f>
        <v>Sofa</v>
      </c>
      <c r="H381" s="2">
        <f t="shared" si="6"/>
        <v>1</v>
      </c>
      <c r="I381" s="2" t="str">
        <f t="shared" si="7"/>
        <v/>
      </c>
      <c r="J381" s="2" t="str">
        <f t="array" ref="J381">INDEX(lists!A:A,RANDBETWEEN(1,19))
</f>
        <v>Spiritual Workers</v>
      </c>
      <c r="K381" s="2" t="str">
        <f t="array" ref="K381">INDEX(lists!N:N,RANDBETWEEN(1,6))
</f>
        <v>Portland</v>
      </c>
      <c r="L381" s="2">
        <f t="shared" si="8"/>
        <v>2</v>
      </c>
      <c r="M381" s="2" t="str">
        <f t="array" ref="M381">INDEX(lists!O:O,RANDBETWEEN(1,2))
</f>
        <v>Delivery</v>
      </c>
      <c r="N381" s="2">
        <f t="shared" si="9"/>
        <v>4</v>
      </c>
    </row>
    <row r="382">
      <c r="A382" s="2">
        <f t="shared" si="1"/>
        <v>381</v>
      </c>
      <c r="B382" s="3">
        <f t="shared" si="2"/>
        <v>45571</v>
      </c>
      <c r="C382" s="3" t="str">
        <f t="shared" si="3"/>
        <v/>
      </c>
      <c r="D382" s="3" t="str">
        <f t="shared" si="4"/>
        <v>Pending</v>
      </c>
      <c r="E382" s="2" t="str">
        <f t="shared" si="5"/>
        <v/>
      </c>
      <c r="F382" s="2" t="str">
        <f t="array" ref="F382">INDEX(lists!F:F,RANDBETWEEN(1,6))
</f>
        <v>Living Room</v>
      </c>
      <c r="G382" s="2" t="str">
        <f t="array" ref="G382">IFS(
F382="Bedroom",INDEX(lists!G:G,RANDBETWEEN(1,4)),
F382="Living Room",INDEX(lists!H:H,RANDBETWEEN(1,4)),
F382="Dining",INDEX(lists!I:I,RANDBETWEEN(1,2)),
F382="Kitchen",INDEX(lists!J:J,RANDBETWEEN(1,4)),
F382="Office",INDEX(lists!K:K,RANDBETWEEN(1,3)),
F382="Household Essentials",INDEX(lists!L:L,RANDBETWEEN(1,3))
)
</f>
        <v>Sofa</v>
      </c>
      <c r="H382" s="2">
        <f t="shared" si="6"/>
        <v>4</v>
      </c>
      <c r="I382" s="2" t="str">
        <f t="shared" si="7"/>
        <v/>
      </c>
      <c r="J382" s="2" t="str">
        <f t="array" ref="J382">INDEX(lists!A:A,RANDBETWEEN(1,19))
</f>
        <v>Westbrook Housing</v>
      </c>
      <c r="K382" s="2" t="str">
        <f t="array" ref="K382">INDEX(lists!N:N,RANDBETWEEN(1,6))
</f>
        <v>Scarborough</v>
      </c>
      <c r="L382" s="2">
        <f t="shared" si="8"/>
        <v>5</v>
      </c>
      <c r="M382" s="2" t="str">
        <f t="array" ref="M382">INDEX(lists!O:O,RANDBETWEEN(1,2))
</f>
        <v>Delivery</v>
      </c>
      <c r="N382" s="2">
        <f t="shared" si="9"/>
        <v>5</v>
      </c>
    </row>
    <row r="383">
      <c r="A383" s="2">
        <f t="shared" si="1"/>
        <v>382</v>
      </c>
      <c r="B383" s="3">
        <f t="shared" si="2"/>
        <v>45382</v>
      </c>
      <c r="C383" s="3">
        <f t="shared" si="3"/>
        <v>45389</v>
      </c>
      <c r="D383" s="3" t="str">
        <f t="shared" si="4"/>
        <v>Completed</v>
      </c>
      <c r="E383" s="2">
        <f t="shared" si="5"/>
        <v>7</v>
      </c>
      <c r="F383" s="2" t="str">
        <f t="array" ref="F383">INDEX(lists!F:F,RANDBETWEEN(1,6))
</f>
        <v>Dining</v>
      </c>
      <c r="G383" s="2" t="str">
        <f t="array" ref="G383">IFS(
F383="Bedroom",INDEX(lists!G:G,RANDBETWEEN(1,4)),
F383="Living Room",INDEX(lists!H:H,RANDBETWEEN(1,4)),
F383="Dining",INDEX(lists!I:I,RANDBETWEEN(1,2)),
F383="Kitchen",INDEX(lists!J:J,RANDBETWEEN(1,4)),
F383="Office",INDEX(lists!K:K,RANDBETWEEN(1,3)),
F383="Household Essentials",INDEX(lists!L:L,RANDBETWEEN(1,3))
)
</f>
        <v>Dining Chair</v>
      </c>
      <c r="H383" s="2">
        <f t="shared" si="6"/>
        <v>4</v>
      </c>
      <c r="I383" s="2">
        <f t="shared" si="7"/>
        <v>3</v>
      </c>
      <c r="J383" s="2" t="str">
        <f t="array" ref="J383">INDEX(lists!A:A,RANDBETWEEN(1,19))
</f>
        <v>Jordan's Furniture</v>
      </c>
      <c r="K383" s="2" t="str">
        <f t="array" ref="K383">INDEX(lists!N:N,RANDBETWEEN(1,6))
</f>
        <v>Westbrook</v>
      </c>
      <c r="L383" s="2">
        <f t="shared" si="8"/>
        <v>2</v>
      </c>
      <c r="M383" s="2" t="str">
        <f t="array" ref="M383">INDEX(lists!O:O,RANDBETWEEN(1,2))
</f>
        <v>Pickup</v>
      </c>
      <c r="N383" s="2">
        <f t="shared" si="9"/>
        <v>2</v>
      </c>
    </row>
    <row r="384">
      <c r="A384" s="2">
        <f t="shared" si="1"/>
        <v>383</v>
      </c>
      <c r="B384" s="3">
        <f t="shared" si="2"/>
        <v>45570</v>
      </c>
      <c r="C384" s="3">
        <f t="shared" si="3"/>
        <v>45605</v>
      </c>
      <c r="D384" s="3" t="str">
        <f t="shared" si="4"/>
        <v>Completed</v>
      </c>
      <c r="E384" s="2">
        <f t="shared" si="5"/>
        <v>35</v>
      </c>
      <c r="F384" s="2" t="str">
        <f t="array" ref="F384">INDEX(lists!F:F,RANDBETWEEN(1,6))
</f>
        <v>Household Essentials</v>
      </c>
      <c r="G384" s="2" t="str">
        <f t="array" ref="G384">IFS(
F384="Bedroom",INDEX(lists!G:G,RANDBETWEEN(1,4)),
F384="Living Room",INDEX(lists!H:H,RANDBETWEEN(1,4)),
F384="Dining",INDEX(lists!I:I,RANDBETWEEN(1,2)),
F384="Kitchen",INDEX(lists!J:J,RANDBETWEEN(1,4)),
F384="Office",INDEX(lists!K:K,RANDBETWEEN(1,3)),
F384="Household Essentials",INDEX(lists!L:L,RANDBETWEEN(1,3))
)
</f>
        <v>Rugs</v>
      </c>
      <c r="H384" s="2">
        <f t="shared" si="6"/>
        <v>4</v>
      </c>
      <c r="I384" s="2">
        <f t="shared" si="7"/>
        <v>2</v>
      </c>
      <c r="J384" s="2" t="str">
        <f t="array" ref="J384">INDEX(lists!A:A,RANDBETWEEN(1,19))
</f>
        <v>Maine Community Bank</v>
      </c>
      <c r="K384" s="2" t="str">
        <f t="array" ref="K384">INDEX(lists!N:N,RANDBETWEEN(1,6))
</f>
        <v>South Portland</v>
      </c>
      <c r="L384" s="2">
        <f t="shared" si="8"/>
        <v>6</v>
      </c>
      <c r="M384" s="2" t="str">
        <f t="array" ref="M384">INDEX(lists!O:O,RANDBETWEEN(1,2))
</f>
        <v>Delivery</v>
      </c>
      <c r="N384" s="2">
        <f t="shared" si="9"/>
        <v>2</v>
      </c>
    </row>
    <row r="385">
      <c r="A385" s="2">
        <f t="shared" si="1"/>
        <v>384</v>
      </c>
      <c r="B385" s="3">
        <f t="shared" si="2"/>
        <v>45429</v>
      </c>
      <c r="C385" s="3">
        <f t="shared" si="3"/>
        <v>45440</v>
      </c>
      <c r="D385" s="3" t="str">
        <f t="shared" si="4"/>
        <v>Completed</v>
      </c>
      <c r="E385" s="2">
        <f t="shared" si="5"/>
        <v>11</v>
      </c>
      <c r="F385" s="2" t="str">
        <f t="array" ref="F385">INDEX(lists!F:F,RANDBETWEEN(1,6))
</f>
        <v>Dining</v>
      </c>
      <c r="G385" s="2" t="str">
        <f t="array" ref="G385">IFS(
F385="Bedroom",INDEX(lists!G:G,RANDBETWEEN(1,4)),
F385="Living Room",INDEX(lists!H:H,RANDBETWEEN(1,4)),
F385="Dining",INDEX(lists!I:I,RANDBETWEEN(1,2)),
F385="Kitchen",INDEX(lists!J:J,RANDBETWEEN(1,4)),
F385="Office",INDEX(lists!K:K,RANDBETWEEN(1,3)),
F385="Household Essentials",INDEX(lists!L:L,RANDBETWEEN(1,3))
)
</f>
        <v>Dining Chair</v>
      </c>
      <c r="H385" s="2">
        <f t="shared" si="6"/>
        <v>4</v>
      </c>
      <c r="I385" s="2">
        <f t="shared" si="7"/>
        <v>4</v>
      </c>
      <c r="J385" s="2" t="str">
        <f t="array" ref="J385">INDEX(lists!A:A,RANDBETWEEN(1,19))
</f>
        <v>Diversified</v>
      </c>
      <c r="K385" s="2" t="str">
        <f t="array" ref="K385">INDEX(lists!N:N,RANDBETWEEN(1,6))
</f>
        <v>Westbrook</v>
      </c>
      <c r="L385" s="2">
        <f t="shared" si="8"/>
        <v>1</v>
      </c>
      <c r="M385" s="2" t="str">
        <f t="array" ref="M385">INDEX(lists!O:O,RANDBETWEEN(1,2))
</f>
        <v>Pickup</v>
      </c>
      <c r="N385" s="2">
        <f t="shared" si="9"/>
        <v>6</v>
      </c>
    </row>
    <row r="386">
      <c r="A386" s="2">
        <f t="shared" si="1"/>
        <v>385</v>
      </c>
      <c r="B386" s="3">
        <f t="shared" si="2"/>
        <v>45733</v>
      </c>
      <c r="C386" s="3" t="str">
        <f t="shared" si="3"/>
        <v/>
      </c>
      <c r="D386" s="3" t="str">
        <f t="shared" si="4"/>
        <v>Pending</v>
      </c>
      <c r="E386" s="2" t="str">
        <f t="shared" si="5"/>
        <v/>
      </c>
      <c r="F386" s="2" t="str">
        <f t="array" ref="F386">INDEX(lists!F:F,RANDBETWEEN(1,6))
</f>
        <v>Household Essentials</v>
      </c>
      <c r="G386" s="2" t="str">
        <f t="array" ref="G386">IFS(
F386="Bedroom",INDEX(lists!G:G,RANDBETWEEN(1,4)),
F386="Living Room",INDEX(lists!H:H,RANDBETWEEN(1,4)),
F386="Dining",INDEX(lists!I:I,RANDBETWEEN(1,2)),
F386="Kitchen",INDEX(lists!J:J,RANDBETWEEN(1,4)),
F386="Office",INDEX(lists!K:K,RANDBETWEEN(1,3)),
F386="Household Essentials",INDEX(lists!L:L,RANDBETWEEN(1,3))
)
</f>
        <v>Bedding</v>
      </c>
      <c r="H386" s="2">
        <f t="shared" si="6"/>
        <v>4</v>
      </c>
      <c r="I386" s="2" t="str">
        <f t="shared" si="7"/>
        <v/>
      </c>
      <c r="J386" s="2" t="str">
        <f t="array" ref="J386">INDEX(lists!A:A,RANDBETWEEN(1,19))
</f>
        <v>Westbrook Housing</v>
      </c>
      <c r="K386" s="2" t="str">
        <f t="array" ref="K386">INDEX(lists!N:N,RANDBETWEEN(1,6))
</f>
        <v>Falmouth</v>
      </c>
      <c r="L386" s="2">
        <f t="shared" si="8"/>
        <v>6</v>
      </c>
      <c r="M386" s="2" t="str">
        <f t="array" ref="M386">INDEX(lists!O:O,RANDBETWEEN(1,2))
</f>
        <v>Delivery</v>
      </c>
      <c r="N386" s="2">
        <f t="shared" si="9"/>
        <v>5</v>
      </c>
    </row>
    <row r="387">
      <c r="A387" s="2">
        <f t="shared" si="1"/>
        <v>386</v>
      </c>
      <c r="B387" s="3">
        <f t="shared" si="2"/>
        <v>45602</v>
      </c>
      <c r="C387" s="3">
        <f t="shared" si="3"/>
        <v>45605</v>
      </c>
      <c r="D387" s="3" t="str">
        <f t="shared" si="4"/>
        <v>Completed</v>
      </c>
      <c r="E387" s="2">
        <f t="shared" si="5"/>
        <v>3</v>
      </c>
      <c r="F387" s="2" t="str">
        <f t="array" ref="F387">INDEX(lists!F:F,RANDBETWEEN(1,6))
</f>
        <v>Dining</v>
      </c>
      <c r="G387" s="2" t="str">
        <f t="array" ref="G387">IFS(
F387="Bedroom",INDEX(lists!G:G,RANDBETWEEN(1,4)),
F387="Living Room",INDEX(lists!H:H,RANDBETWEEN(1,4)),
F387="Dining",INDEX(lists!I:I,RANDBETWEEN(1,2)),
F387="Kitchen",INDEX(lists!J:J,RANDBETWEEN(1,4)),
F387="Office",INDEX(lists!K:K,RANDBETWEEN(1,3)),
F387="Household Essentials",INDEX(lists!L:L,RANDBETWEEN(1,3))
)
</f>
        <v>Dining Chair</v>
      </c>
      <c r="H387" s="2">
        <f t="shared" si="6"/>
        <v>2</v>
      </c>
      <c r="I387" s="2">
        <f t="shared" si="7"/>
        <v>2</v>
      </c>
      <c r="J387" s="2" t="str">
        <f t="array" ref="J387">INDEX(lists!A:A,RANDBETWEEN(1,19))
</f>
        <v>Portland Harbor Group Raymond James</v>
      </c>
      <c r="K387" s="2" t="str">
        <f t="array" ref="K387">INDEX(lists!N:N,RANDBETWEEN(1,6))
</f>
        <v>South Portland</v>
      </c>
      <c r="L387" s="2">
        <f t="shared" si="8"/>
        <v>5</v>
      </c>
      <c r="M387" s="2" t="str">
        <f t="array" ref="M387">INDEX(lists!O:O,RANDBETWEEN(1,2))
</f>
        <v>Delivery</v>
      </c>
      <c r="N387" s="2">
        <f t="shared" si="9"/>
        <v>2</v>
      </c>
    </row>
    <row r="388">
      <c r="A388" s="2">
        <f t="shared" si="1"/>
        <v>387</v>
      </c>
      <c r="B388" s="3">
        <f t="shared" si="2"/>
        <v>45688</v>
      </c>
      <c r="C388" s="3" t="str">
        <f t="shared" si="3"/>
        <v/>
      </c>
      <c r="D388" s="3" t="str">
        <f t="shared" si="4"/>
        <v>Pending</v>
      </c>
      <c r="E388" s="2" t="str">
        <f t="shared" si="5"/>
        <v/>
      </c>
      <c r="F388" s="2" t="str">
        <f t="array" ref="F388">INDEX(lists!F:F,RANDBETWEEN(1,6))
</f>
        <v>Living Room</v>
      </c>
      <c r="G388" s="2" t="str">
        <f t="array" ref="G388">IFS(
F388="Bedroom",INDEX(lists!G:G,RANDBETWEEN(1,4)),
F388="Living Room",INDEX(lists!H:H,RANDBETWEEN(1,4)),
F388="Dining",INDEX(lists!I:I,RANDBETWEEN(1,2)),
F388="Kitchen",INDEX(lists!J:J,RANDBETWEEN(1,4)),
F388="Office",INDEX(lists!K:K,RANDBETWEEN(1,3)),
F388="Household Essentials",INDEX(lists!L:L,RANDBETWEEN(1,3))
)
</f>
        <v>Sofa</v>
      </c>
      <c r="H388" s="2">
        <f t="shared" si="6"/>
        <v>3</v>
      </c>
      <c r="I388" s="2" t="str">
        <f t="shared" si="7"/>
        <v/>
      </c>
      <c r="J388" s="2" t="str">
        <f t="array" ref="J388">INDEX(lists!A:A,RANDBETWEEN(1,19))
</f>
        <v>Systems Engineering</v>
      </c>
      <c r="K388" s="2" t="str">
        <f t="array" ref="K388">INDEX(lists!N:N,RANDBETWEEN(1,6))
</f>
        <v>Scarborough</v>
      </c>
      <c r="L388" s="2">
        <f t="shared" si="8"/>
        <v>2</v>
      </c>
      <c r="M388" s="2" t="str">
        <f t="array" ref="M388">INDEX(lists!O:O,RANDBETWEEN(1,2))
</f>
        <v>Pickup</v>
      </c>
      <c r="N388" s="2">
        <f t="shared" si="9"/>
        <v>5</v>
      </c>
    </row>
    <row r="389">
      <c r="A389" s="2">
        <f t="shared" si="1"/>
        <v>388</v>
      </c>
      <c r="B389" s="3">
        <f t="shared" si="2"/>
        <v>45537</v>
      </c>
      <c r="C389" s="3">
        <f t="shared" si="3"/>
        <v>45546</v>
      </c>
      <c r="D389" s="3" t="str">
        <f t="shared" si="4"/>
        <v>Completed</v>
      </c>
      <c r="E389" s="2">
        <f t="shared" si="5"/>
        <v>9</v>
      </c>
      <c r="F389" s="2" t="str">
        <f t="array" ref="F389">INDEX(lists!F:F,RANDBETWEEN(1,6))
</f>
        <v>Living Room</v>
      </c>
      <c r="G389" s="2" t="str">
        <f t="array" ref="G389">IFS(
F389="Bedroom",INDEX(lists!G:G,RANDBETWEEN(1,4)),
F389="Living Room",INDEX(lists!H:H,RANDBETWEEN(1,4)),
F389="Dining",INDEX(lists!I:I,RANDBETWEEN(1,2)),
F389="Kitchen",INDEX(lists!J:J,RANDBETWEEN(1,4)),
F389="Office",INDEX(lists!K:K,RANDBETWEEN(1,3)),
F389="Household Essentials",INDEX(lists!L:L,RANDBETWEEN(1,3))
)
</f>
        <v>Armchair</v>
      </c>
      <c r="H389" s="2">
        <f t="shared" si="6"/>
        <v>3</v>
      </c>
      <c r="I389" s="2">
        <f t="shared" si="7"/>
        <v>1</v>
      </c>
      <c r="J389" s="2" t="str">
        <f t="array" ref="J389">INDEX(lists!A:A,RANDBETWEEN(1,19))
</f>
        <v>Rowe Ford Westbrook</v>
      </c>
      <c r="K389" s="2" t="str">
        <f t="array" ref="K389">INDEX(lists!N:N,RANDBETWEEN(1,6))
</f>
        <v>Falmouth</v>
      </c>
      <c r="L389" s="2">
        <f t="shared" si="8"/>
        <v>3</v>
      </c>
      <c r="M389" s="2" t="str">
        <f t="array" ref="M389">INDEX(lists!O:O,RANDBETWEEN(1,2))
</f>
        <v>Delivery</v>
      </c>
      <c r="N389" s="2">
        <f t="shared" si="9"/>
        <v>1</v>
      </c>
    </row>
    <row r="390">
      <c r="A390" s="2">
        <f t="shared" si="1"/>
        <v>389</v>
      </c>
      <c r="B390" s="3">
        <f t="shared" si="2"/>
        <v>45603</v>
      </c>
      <c r="C390" s="3">
        <f t="shared" si="3"/>
        <v>45613</v>
      </c>
      <c r="D390" s="3" t="str">
        <f t="shared" si="4"/>
        <v>Completed</v>
      </c>
      <c r="E390" s="2">
        <f t="shared" si="5"/>
        <v>10</v>
      </c>
      <c r="F390" s="2" t="str">
        <f t="array" ref="F390">INDEX(lists!F:F,RANDBETWEEN(1,6))
</f>
        <v>Kitchen</v>
      </c>
      <c r="G390" s="2" t="str">
        <f t="array" ref="G390">IFS(
F390="Bedroom",INDEX(lists!G:G,RANDBETWEEN(1,4)),
F390="Living Room",INDEX(lists!H:H,RANDBETWEEN(1,4)),
F390="Dining",INDEX(lists!I:I,RANDBETWEEN(1,2)),
F390="Kitchen",INDEX(lists!J:J,RANDBETWEEN(1,4)),
F390="Office",INDEX(lists!K:K,RANDBETWEEN(1,3)),
F390="Household Essentials",INDEX(lists!L:L,RANDBETWEEN(1,3))
)
</f>
        <v>Dishes</v>
      </c>
      <c r="H390" s="2">
        <f t="shared" si="6"/>
        <v>1</v>
      </c>
      <c r="I390" s="2">
        <f t="shared" si="7"/>
        <v>1</v>
      </c>
      <c r="J390" s="2" t="str">
        <f t="array" ref="J390">INDEX(lists!A:A,RANDBETWEEN(1,19))
</f>
        <v>Systems Engineering</v>
      </c>
      <c r="K390" s="2" t="str">
        <f t="array" ref="K390">INDEX(lists!N:N,RANDBETWEEN(1,6))
</f>
        <v>Scarborough</v>
      </c>
      <c r="L390" s="2">
        <f t="shared" si="8"/>
        <v>6</v>
      </c>
      <c r="M390" s="2" t="str">
        <f t="array" ref="M390">INDEX(lists!O:O,RANDBETWEEN(1,2))
</f>
        <v>Delivery</v>
      </c>
      <c r="N390" s="2">
        <f t="shared" si="9"/>
        <v>4</v>
      </c>
    </row>
    <row r="391">
      <c r="A391" s="2">
        <f t="shared" si="1"/>
        <v>390</v>
      </c>
      <c r="B391" s="3">
        <f t="shared" si="2"/>
        <v>45626</v>
      </c>
      <c r="C391" s="3">
        <f t="shared" si="3"/>
        <v>45631</v>
      </c>
      <c r="D391" s="3" t="str">
        <f t="shared" si="4"/>
        <v>Completed</v>
      </c>
      <c r="E391" s="2">
        <f t="shared" si="5"/>
        <v>5</v>
      </c>
      <c r="F391" s="2" t="str">
        <f t="array" ref="F391">INDEX(lists!F:F,RANDBETWEEN(1,6))
</f>
        <v>Bedroom</v>
      </c>
      <c r="G391" s="2" t="str">
        <f t="array" ref="G391">IFS(
F391="Bedroom",INDEX(lists!G:G,RANDBETWEEN(1,4)),
F391="Living Room",INDEX(lists!H:H,RANDBETWEEN(1,4)),
F391="Dining",INDEX(lists!I:I,RANDBETWEEN(1,2)),
F391="Kitchen",INDEX(lists!J:J,RANDBETWEEN(1,4)),
F391="Office",INDEX(lists!K:K,RANDBETWEEN(1,3)),
F391="Household Essentials",INDEX(lists!L:L,RANDBETWEEN(1,3))
)
</f>
        <v>Bed Frame</v>
      </c>
      <c r="H391" s="2">
        <f t="shared" si="6"/>
        <v>2</v>
      </c>
      <c r="I391" s="2">
        <f t="shared" si="7"/>
        <v>1</v>
      </c>
      <c r="J391" s="2" t="str">
        <f t="array" ref="J391">INDEX(lists!A:A,RANDBETWEEN(1,19))
</f>
        <v>Saco &amp; Biddeford Savings</v>
      </c>
      <c r="K391" s="2" t="str">
        <f t="array" ref="K391">INDEX(lists!N:N,RANDBETWEEN(1,6))
</f>
        <v>Portland</v>
      </c>
      <c r="L391" s="2">
        <f t="shared" si="8"/>
        <v>4</v>
      </c>
      <c r="M391" s="2" t="str">
        <f t="array" ref="M391">INDEX(lists!O:O,RANDBETWEEN(1,2))
</f>
        <v>Delivery</v>
      </c>
      <c r="N391" s="2">
        <f t="shared" si="9"/>
        <v>4</v>
      </c>
    </row>
    <row r="392">
      <c r="A392" s="2">
        <f t="shared" si="1"/>
        <v>391</v>
      </c>
      <c r="B392" s="3">
        <f t="shared" si="2"/>
        <v>45444</v>
      </c>
      <c r="C392" s="3">
        <f t="shared" si="3"/>
        <v>45458</v>
      </c>
      <c r="D392" s="3" t="str">
        <f t="shared" si="4"/>
        <v>Completed</v>
      </c>
      <c r="E392" s="2">
        <f t="shared" si="5"/>
        <v>14</v>
      </c>
      <c r="F392" s="2" t="str">
        <f t="array" ref="F392">INDEX(lists!F:F,RANDBETWEEN(1,6))
</f>
        <v>Kitchen</v>
      </c>
      <c r="G392" s="2" t="str">
        <f t="array" ref="G392">IFS(
F392="Bedroom",INDEX(lists!G:G,RANDBETWEEN(1,4)),
F392="Living Room",INDEX(lists!H:H,RANDBETWEEN(1,4)),
F392="Dining",INDEX(lists!I:I,RANDBETWEEN(1,2)),
F392="Kitchen",INDEX(lists!J:J,RANDBETWEEN(1,4)),
F392="Office",INDEX(lists!K:K,RANDBETWEEN(1,3)),
F392="Household Essentials",INDEX(lists!L:L,RANDBETWEEN(1,3))
)
</f>
        <v>Pots &amp; Pans</v>
      </c>
      <c r="H392" s="2">
        <f t="shared" si="6"/>
        <v>3</v>
      </c>
      <c r="I392" s="2">
        <f t="shared" si="7"/>
        <v>2</v>
      </c>
      <c r="J392" s="2" t="str">
        <f t="array" ref="J392">INDEX(lists!A:A,RANDBETWEEN(1,19))
</f>
        <v>Jordan's Furniture</v>
      </c>
      <c r="K392" s="2" t="str">
        <f t="array" ref="K392">INDEX(lists!N:N,RANDBETWEEN(1,6))
</f>
        <v>South Portland</v>
      </c>
      <c r="L392" s="2">
        <f t="shared" si="8"/>
        <v>1</v>
      </c>
      <c r="M392" s="2" t="str">
        <f t="array" ref="M392">INDEX(lists!O:O,RANDBETWEEN(1,2))
</f>
        <v>Delivery</v>
      </c>
      <c r="N392" s="2">
        <f t="shared" si="9"/>
        <v>4</v>
      </c>
    </row>
    <row r="393">
      <c r="A393" s="2">
        <f t="shared" si="1"/>
        <v>392</v>
      </c>
      <c r="B393" s="3">
        <f t="shared" si="2"/>
        <v>45770</v>
      </c>
      <c r="C393" s="3">
        <f t="shared" si="3"/>
        <v>45775</v>
      </c>
      <c r="D393" s="3" t="str">
        <f t="shared" si="4"/>
        <v>Completed</v>
      </c>
      <c r="E393" s="2">
        <f t="shared" si="5"/>
        <v>5</v>
      </c>
      <c r="F393" s="2" t="str">
        <f t="array" ref="F393">INDEX(lists!F:F,RANDBETWEEN(1,6))
</f>
        <v>Living Room</v>
      </c>
      <c r="G393" s="2" t="str">
        <f t="array" ref="G393">IFS(
F393="Bedroom",INDEX(lists!G:G,RANDBETWEEN(1,4)),
F393="Living Room",INDEX(lists!H:H,RANDBETWEEN(1,4)),
F393="Dining",INDEX(lists!I:I,RANDBETWEEN(1,2)),
F393="Kitchen",INDEX(lists!J:J,RANDBETWEEN(1,4)),
F393="Office",INDEX(lists!K:K,RANDBETWEEN(1,3)),
F393="Household Essentials",INDEX(lists!L:L,RANDBETWEEN(1,3))
)
</f>
        <v>Sofa</v>
      </c>
      <c r="H393" s="2">
        <f t="shared" si="6"/>
        <v>2</v>
      </c>
      <c r="I393" s="2">
        <f t="shared" si="7"/>
        <v>1</v>
      </c>
      <c r="J393" s="2" t="str">
        <f t="array" ref="J393">INDEX(lists!A:A,RANDBETWEEN(1,19))
</f>
        <v>Saco &amp; Biddeford Savings</v>
      </c>
      <c r="K393" s="2" t="str">
        <f t="array" ref="K393">INDEX(lists!N:N,RANDBETWEEN(1,6))
</f>
        <v>Biddeford</v>
      </c>
      <c r="L393" s="2">
        <f t="shared" si="8"/>
        <v>5</v>
      </c>
      <c r="M393" s="2" t="str">
        <f t="array" ref="M393">INDEX(lists!O:O,RANDBETWEEN(1,2))
</f>
        <v>Delivery</v>
      </c>
      <c r="N393" s="2">
        <f t="shared" si="9"/>
        <v>3</v>
      </c>
    </row>
    <row r="394">
      <c r="A394" s="2">
        <f t="shared" si="1"/>
        <v>393</v>
      </c>
      <c r="B394" s="3">
        <f t="shared" si="2"/>
        <v>45487</v>
      </c>
      <c r="C394" s="3">
        <f t="shared" si="3"/>
        <v>45493</v>
      </c>
      <c r="D394" s="3" t="str">
        <f t="shared" si="4"/>
        <v>Completed</v>
      </c>
      <c r="E394" s="2">
        <f t="shared" si="5"/>
        <v>6</v>
      </c>
      <c r="F394" s="2" t="str">
        <f t="array" ref="F394">INDEX(lists!F:F,RANDBETWEEN(1,6))
</f>
        <v>Dining</v>
      </c>
      <c r="G394" s="2" t="str">
        <f t="array" ref="G394">IFS(
F394="Bedroom",INDEX(lists!G:G,RANDBETWEEN(1,4)),
F394="Living Room",INDEX(lists!H:H,RANDBETWEEN(1,4)),
F394="Dining",INDEX(lists!I:I,RANDBETWEEN(1,2)),
F394="Kitchen",INDEX(lists!J:J,RANDBETWEEN(1,4)),
F394="Office",INDEX(lists!K:K,RANDBETWEEN(1,3)),
F394="Household Essentials",INDEX(lists!L:L,RANDBETWEEN(1,3))
)
</f>
        <v>Dining Table</v>
      </c>
      <c r="H394" s="2">
        <f t="shared" si="6"/>
        <v>1</v>
      </c>
      <c r="I394" s="2">
        <f t="shared" si="7"/>
        <v>1</v>
      </c>
      <c r="J394" s="2" t="str">
        <f t="array" ref="J394">INDEX(lists!A:A,RANDBETWEEN(1,19))
</f>
        <v>EthosVont</v>
      </c>
      <c r="K394" s="2" t="str">
        <f t="array" ref="K394">INDEX(lists!N:N,RANDBETWEEN(1,6))
</f>
        <v>South Portland</v>
      </c>
      <c r="L394" s="2">
        <f t="shared" si="8"/>
        <v>3</v>
      </c>
      <c r="M394" s="2" t="str">
        <f t="array" ref="M394">INDEX(lists!O:O,RANDBETWEEN(1,2))
</f>
        <v>Delivery</v>
      </c>
      <c r="N394" s="2">
        <f t="shared" si="9"/>
        <v>4</v>
      </c>
    </row>
    <row r="395">
      <c r="A395" s="2">
        <f t="shared" si="1"/>
        <v>394</v>
      </c>
      <c r="B395" s="3">
        <f t="shared" si="2"/>
        <v>45534</v>
      </c>
      <c r="C395" s="3">
        <f t="shared" si="3"/>
        <v>45535</v>
      </c>
      <c r="D395" s="3" t="str">
        <f t="shared" si="4"/>
        <v>Completed</v>
      </c>
      <c r="E395" s="2">
        <f t="shared" si="5"/>
        <v>1</v>
      </c>
      <c r="F395" s="2" t="str">
        <f t="array" ref="F395">INDEX(lists!F:F,RANDBETWEEN(1,6))
</f>
        <v>Office</v>
      </c>
      <c r="G395" s="2" t="str">
        <f t="array" ref="G395">IFS(
F395="Bedroom",INDEX(lists!G:G,RANDBETWEEN(1,4)),
F395="Living Room",INDEX(lists!H:H,RANDBETWEEN(1,4)),
F395="Dining",INDEX(lists!I:I,RANDBETWEEN(1,2)),
F395="Kitchen",INDEX(lists!J:J,RANDBETWEEN(1,4)),
F395="Office",INDEX(lists!K:K,RANDBETWEEN(1,3)),
F395="Household Essentials",INDEX(lists!L:L,RANDBETWEEN(1,3))
)
</f>
        <v>Bookshelf</v>
      </c>
      <c r="H395" s="2">
        <f t="shared" si="6"/>
        <v>4</v>
      </c>
      <c r="I395" s="2">
        <f t="shared" si="7"/>
        <v>2</v>
      </c>
      <c r="J395" s="2" t="str">
        <f t="array" ref="J395">INDEX(lists!A:A,RANDBETWEEN(1,19))
</f>
        <v>Rowe Ford Westbrook</v>
      </c>
      <c r="K395" s="2" t="str">
        <f t="array" ref="K395">INDEX(lists!N:N,RANDBETWEEN(1,6))
</f>
        <v>Scarborough</v>
      </c>
      <c r="L395" s="2">
        <f t="shared" si="8"/>
        <v>2</v>
      </c>
      <c r="M395" s="2" t="str">
        <f t="array" ref="M395">INDEX(lists!O:O,RANDBETWEEN(1,2))
</f>
        <v>Pickup</v>
      </c>
      <c r="N395" s="2">
        <f t="shared" si="9"/>
        <v>2</v>
      </c>
    </row>
    <row r="396">
      <c r="A396" s="2">
        <f t="shared" si="1"/>
        <v>395</v>
      </c>
      <c r="B396" s="3">
        <f t="shared" si="2"/>
        <v>45661</v>
      </c>
      <c r="C396" s="3" t="str">
        <f t="shared" si="3"/>
        <v/>
      </c>
      <c r="D396" s="3" t="str">
        <f t="shared" si="4"/>
        <v>Pending</v>
      </c>
      <c r="E396" s="2" t="str">
        <f t="shared" si="5"/>
        <v/>
      </c>
      <c r="F396" s="2" t="str">
        <f t="array" ref="F396">INDEX(lists!F:F,RANDBETWEEN(1,6))
</f>
        <v>Household Essentials</v>
      </c>
      <c r="G396" s="2" t="str">
        <f t="array" ref="G396">IFS(
F396="Bedroom",INDEX(lists!G:G,RANDBETWEEN(1,4)),
F396="Living Room",INDEX(lists!H:H,RANDBETWEEN(1,4)),
F396="Dining",INDEX(lists!I:I,RANDBETWEEN(1,2)),
F396="Kitchen",INDEX(lists!J:J,RANDBETWEEN(1,4)),
F396="Office",INDEX(lists!K:K,RANDBETWEEN(1,3)),
F396="Household Essentials",INDEX(lists!L:L,RANDBETWEEN(1,3))
)
</f>
        <v>Rugs</v>
      </c>
      <c r="H396" s="2">
        <f t="shared" si="6"/>
        <v>3</v>
      </c>
      <c r="I396" s="2" t="str">
        <f t="shared" si="7"/>
        <v/>
      </c>
      <c r="J396" s="2" t="str">
        <f t="array" ref="J396">INDEX(lists!A:A,RANDBETWEEN(1,19))
</f>
        <v>Diversified</v>
      </c>
      <c r="K396" s="2" t="str">
        <f t="array" ref="K396">INDEX(lists!N:N,RANDBETWEEN(1,6))
</f>
        <v>Portland</v>
      </c>
      <c r="L396" s="2">
        <f t="shared" si="8"/>
        <v>1</v>
      </c>
      <c r="M396" s="2" t="str">
        <f t="array" ref="M396">INDEX(lists!O:O,RANDBETWEEN(1,2))
</f>
        <v>Pickup</v>
      </c>
      <c r="N396" s="2">
        <f t="shared" si="9"/>
        <v>6</v>
      </c>
    </row>
    <row r="397">
      <c r="A397" s="2">
        <f t="shared" si="1"/>
        <v>396</v>
      </c>
      <c r="B397" s="3">
        <f t="shared" si="2"/>
        <v>45440</v>
      </c>
      <c r="C397" s="3">
        <f t="shared" si="3"/>
        <v>45447</v>
      </c>
      <c r="D397" s="3" t="str">
        <f t="shared" si="4"/>
        <v>Completed</v>
      </c>
      <c r="E397" s="2">
        <f t="shared" si="5"/>
        <v>7</v>
      </c>
      <c r="F397" s="2" t="str">
        <f t="array" ref="F397">INDEX(lists!F:F,RANDBETWEEN(1,6))
</f>
        <v>Bedroom</v>
      </c>
      <c r="G397" s="2" t="str">
        <f t="array" ref="G397">IFS(
F397="Bedroom",INDEX(lists!G:G,RANDBETWEEN(1,4)),
F397="Living Room",INDEX(lists!H:H,RANDBETWEEN(1,4)),
F397="Dining",INDEX(lists!I:I,RANDBETWEEN(1,2)),
F397="Kitchen",INDEX(lists!J:J,RANDBETWEEN(1,4)),
F397="Office",INDEX(lists!K:K,RANDBETWEEN(1,3)),
F397="Household Essentials",INDEX(lists!L:L,RANDBETWEEN(1,3))
)
</f>
        <v>Bed Frame</v>
      </c>
      <c r="H397" s="2">
        <f t="shared" si="6"/>
        <v>4</v>
      </c>
      <c r="I397" s="2">
        <f t="shared" si="7"/>
        <v>1</v>
      </c>
      <c r="J397" s="2" t="str">
        <f t="array" ref="J397">INDEX(lists!A:A,RANDBETWEEN(1,19))
</f>
        <v>GoGo Refill</v>
      </c>
      <c r="K397" s="2" t="str">
        <f t="array" ref="K397">INDEX(lists!N:N,RANDBETWEEN(1,6))
</f>
        <v>Biddeford</v>
      </c>
      <c r="L397" s="2">
        <f t="shared" si="8"/>
        <v>4</v>
      </c>
      <c r="M397" s="2" t="str">
        <f t="array" ref="M397">INDEX(lists!O:O,RANDBETWEEN(1,2))
</f>
        <v>Pickup</v>
      </c>
      <c r="N397" s="2">
        <f t="shared" si="9"/>
        <v>4</v>
      </c>
    </row>
    <row r="398">
      <c r="A398" s="2">
        <f t="shared" si="1"/>
        <v>397</v>
      </c>
      <c r="B398" s="3">
        <f t="shared" si="2"/>
        <v>45744</v>
      </c>
      <c r="C398" s="3">
        <f t="shared" si="3"/>
        <v>45756</v>
      </c>
      <c r="D398" s="3" t="str">
        <f t="shared" si="4"/>
        <v>Completed</v>
      </c>
      <c r="E398" s="2">
        <f t="shared" si="5"/>
        <v>12</v>
      </c>
      <c r="F398" s="2" t="str">
        <f t="array" ref="F398">INDEX(lists!F:F,RANDBETWEEN(1,6))
</f>
        <v>Dining</v>
      </c>
      <c r="G398" s="2" t="str">
        <f t="array" ref="G398">IFS(
F398="Bedroom",INDEX(lists!G:G,RANDBETWEEN(1,4)),
F398="Living Room",INDEX(lists!H:H,RANDBETWEEN(1,4)),
F398="Dining",INDEX(lists!I:I,RANDBETWEEN(1,2)),
F398="Kitchen",INDEX(lists!J:J,RANDBETWEEN(1,4)),
F398="Office",INDEX(lists!K:K,RANDBETWEEN(1,3)),
F398="Household Essentials",INDEX(lists!L:L,RANDBETWEEN(1,3))
)
</f>
        <v>Dining Chair</v>
      </c>
      <c r="H398" s="2">
        <f t="shared" si="6"/>
        <v>3</v>
      </c>
      <c r="I398" s="2">
        <f t="shared" si="7"/>
        <v>3</v>
      </c>
      <c r="J398" s="2" t="str">
        <f t="array" ref="J398">INDEX(lists!A:A,RANDBETWEEN(1,19))
</f>
        <v>Spiritual Workers</v>
      </c>
      <c r="K398" s="2" t="str">
        <f t="array" ref="K398">INDEX(lists!N:N,RANDBETWEEN(1,6))
</f>
        <v>Portland</v>
      </c>
      <c r="L398" s="2">
        <f t="shared" si="8"/>
        <v>2</v>
      </c>
      <c r="M398" s="2" t="str">
        <f t="array" ref="M398">INDEX(lists!O:O,RANDBETWEEN(1,2))
</f>
        <v>Delivery</v>
      </c>
      <c r="N398" s="2">
        <f t="shared" si="9"/>
        <v>6</v>
      </c>
    </row>
    <row r="399">
      <c r="A399" s="2">
        <f t="shared" si="1"/>
        <v>398</v>
      </c>
      <c r="B399" s="3">
        <f t="shared" si="2"/>
        <v>45589</v>
      </c>
      <c r="C399" s="3">
        <f t="shared" si="3"/>
        <v>45595</v>
      </c>
      <c r="D399" s="3" t="str">
        <f t="shared" si="4"/>
        <v>Completed</v>
      </c>
      <c r="E399" s="2">
        <f t="shared" si="5"/>
        <v>6</v>
      </c>
      <c r="F399" s="2" t="str">
        <f t="array" ref="F399">INDEX(lists!F:F,RANDBETWEEN(1,6))
</f>
        <v>Dining</v>
      </c>
      <c r="G399" s="2" t="str">
        <f t="array" ref="G399">IFS(
F399="Bedroom",INDEX(lists!G:G,RANDBETWEEN(1,4)),
F399="Living Room",INDEX(lists!H:H,RANDBETWEEN(1,4)),
F399="Dining",INDEX(lists!I:I,RANDBETWEEN(1,2)),
F399="Kitchen",INDEX(lists!J:J,RANDBETWEEN(1,4)),
F399="Office",INDEX(lists!K:K,RANDBETWEEN(1,3)),
F399="Household Essentials",INDEX(lists!L:L,RANDBETWEEN(1,3))
)
</f>
        <v>Dining Table</v>
      </c>
      <c r="H399" s="2">
        <f t="shared" si="6"/>
        <v>2</v>
      </c>
      <c r="I399" s="2">
        <f t="shared" si="7"/>
        <v>1</v>
      </c>
      <c r="J399" s="2" t="str">
        <f t="array" ref="J399">INDEX(lists!A:A,RANDBETWEEN(1,19))
</f>
        <v>Diversified</v>
      </c>
      <c r="K399" s="2" t="str">
        <f t="array" ref="K399">INDEX(lists!N:N,RANDBETWEEN(1,6))
</f>
        <v>Biddeford</v>
      </c>
      <c r="L399" s="2">
        <f t="shared" si="8"/>
        <v>5</v>
      </c>
      <c r="M399" s="2" t="str">
        <f t="array" ref="M399">INDEX(lists!O:O,RANDBETWEEN(1,2))
</f>
        <v>Pickup</v>
      </c>
      <c r="N399" s="2">
        <f t="shared" si="9"/>
        <v>5</v>
      </c>
    </row>
    <row r="400">
      <c r="A400" s="2">
        <f t="shared" si="1"/>
        <v>399</v>
      </c>
      <c r="B400" s="3">
        <f t="shared" si="2"/>
        <v>45493</v>
      </c>
      <c r="C400" s="3">
        <f t="shared" si="3"/>
        <v>45503</v>
      </c>
      <c r="D400" s="3" t="str">
        <f t="shared" si="4"/>
        <v>Completed</v>
      </c>
      <c r="E400" s="2">
        <f t="shared" si="5"/>
        <v>10</v>
      </c>
      <c r="F400" s="2" t="str">
        <f t="array" ref="F400">INDEX(lists!F:F,RANDBETWEEN(1,6))
</f>
        <v>Living Room</v>
      </c>
      <c r="G400" s="2" t="str">
        <f t="array" ref="G400">IFS(
F400="Bedroom",INDEX(lists!G:G,RANDBETWEEN(1,4)),
F400="Living Room",INDEX(lists!H:H,RANDBETWEEN(1,4)),
F400="Dining",INDEX(lists!I:I,RANDBETWEEN(1,2)),
F400="Kitchen",INDEX(lists!J:J,RANDBETWEEN(1,4)),
F400="Office",INDEX(lists!K:K,RANDBETWEEN(1,3)),
F400="Household Essentials",INDEX(lists!L:L,RANDBETWEEN(1,3))
)
</f>
        <v>Coffee Table</v>
      </c>
      <c r="H400" s="2">
        <f t="shared" si="6"/>
        <v>1</v>
      </c>
      <c r="I400" s="2">
        <f t="shared" si="7"/>
        <v>1</v>
      </c>
      <c r="J400" s="2" t="str">
        <f t="array" ref="J400">INDEX(lists!A:A,RANDBETWEEN(1,19))
</f>
        <v>Diversified</v>
      </c>
      <c r="K400" s="2" t="str">
        <f t="array" ref="K400">INDEX(lists!N:N,RANDBETWEEN(1,6))
</f>
        <v>Scarborough</v>
      </c>
      <c r="L400" s="2">
        <f t="shared" si="8"/>
        <v>6</v>
      </c>
      <c r="M400" s="2" t="str">
        <f t="array" ref="M400">INDEX(lists!O:O,RANDBETWEEN(1,2))
</f>
        <v>Pickup</v>
      </c>
      <c r="N400" s="2">
        <f t="shared" si="9"/>
        <v>6</v>
      </c>
    </row>
    <row r="401">
      <c r="A401" s="2">
        <f t="shared" si="1"/>
        <v>400</v>
      </c>
      <c r="B401" s="3">
        <f t="shared" si="2"/>
        <v>45434</v>
      </c>
      <c r="C401" s="3">
        <f t="shared" si="3"/>
        <v>45441</v>
      </c>
      <c r="D401" s="3" t="str">
        <f t="shared" si="4"/>
        <v>Completed</v>
      </c>
      <c r="E401" s="2">
        <f t="shared" si="5"/>
        <v>7</v>
      </c>
      <c r="F401" s="2" t="str">
        <f t="array" ref="F401">INDEX(lists!F:F,RANDBETWEEN(1,6))
</f>
        <v>Dining</v>
      </c>
      <c r="G401" s="2" t="str">
        <f t="array" ref="G401">IFS(
F401="Bedroom",INDEX(lists!G:G,RANDBETWEEN(1,4)),
F401="Living Room",INDEX(lists!H:H,RANDBETWEEN(1,4)),
F401="Dining",INDEX(lists!I:I,RANDBETWEEN(1,2)),
F401="Kitchen",INDEX(lists!J:J,RANDBETWEEN(1,4)),
F401="Office",INDEX(lists!K:K,RANDBETWEEN(1,3)),
F401="Household Essentials",INDEX(lists!L:L,RANDBETWEEN(1,3))
)
</f>
        <v>Dining Chair</v>
      </c>
      <c r="H401" s="2">
        <f t="shared" si="6"/>
        <v>1</v>
      </c>
      <c r="I401" s="2">
        <f t="shared" si="7"/>
        <v>1</v>
      </c>
      <c r="J401" s="2" t="str">
        <f t="array" ref="J401">INDEX(lists!A:A,RANDBETWEEN(1,19))
</f>
        <v>Portland Mattress Makers</v>
      </c>
      <c r="K401" s="2" t="str">
        <f t="array" ref="K401">INDEX(lists!N:N,RANDBETWEEN(1,6))
</f>
        <v>Portland</v>
      </c>
      <c r="L401" s="2">
        <f t="shared" si="8"/>
        <v>4</v>
      </c>
      <c r="M401" s="2" t="str">
        <f t="array" ref="M401">INDEX(lists!O:O,RANDBETWEEN(1,2))
</f>
        <v>Pickup</v>
      </c>
      <c r="N401" s="2">
        <f t="shared" si="9"/>
        <v>2</v>
      </c>
    </row>
    <row r="402">
      <c r="A402" s="2">
        <f t="shared" si="1"/>
        <v>401</v>
      </c>
      <c r="B402" s="3">
        <f t="shared" si="2"/>
        <v>45391</v>
      </c>
      <c r="C402" s="3">
        <f t="shared" si="3"/>
        <v>45400</v>
      </c>
      <c r="D402" s="3" t="str">
        <f t="shared" si="4"/>
        <v>Completed</v>
      </c>
      <c r="E402" s="2">
        <f t="shared" si="5"/>
        <v>9</v>
      </c>
      <c r="F402" s="2" t="str">
        <f t="array" ref="F402">INDEX(lists!F:F,RANDBETWEEN(1,6))
</f>
        <v>Dining</v>
      </c>
      <c r="G402" s="2" t="str">
        <f t="array" ref="G402">IFS(
F402="Bedroom",INDEX(lists!G:G,RANDBETWEEN(1,4)),
F402="Living Room",INDEX(lists!H:H,RANDBETWEEN(1,4)),
F402="Dining",INDEX(lists!I:I,RANDBETWEEN(1,2)),
F402="Kitchen",INDEX(lists!J:J,RANDBETWEEN(1,4)),
F402="Office",INDEX(lists!K:K,RANDBETWEEN(1,3)),
F402="Household Essentials",INDEX(lists!L:L,RANDBETWEEN(1,3))
)
</f>
        <v>Dining Table</v>
      </c>
      <c r="H402" s="2">
        <f t="shared" si="6"/>
        <v>3</v>
      </c>
      <c r="I402" s="2">
        <f t="shared" si="7"/>
        <v>2</v>
      </c>
      <c r="J402" s="2" t="str">
        <f t="array" ref="J402">INDEX(lists!A:A,RANDBETWEEN(1,19))
</f>
        <v>Keybank</v>
      </c>
      <c r="K402" s="2" t="str">
        <f t="array" ref="K402">INDEX(lists!N:N,RANDBETWEEN(1,6))
</f>
        <v>Westbrook</v>
      </c>
      <c r="L402" s="2">
        <f t="shared" si="8"/>
        <v>6</v>
      </c>
      <c r="M402" s="2" t="str">
        <f t="array" ref="M402">INDEX(lists!O:O,RANDBETWEEN(1,2))
</f>
        <v>Delivery</v>
      </c>
      <c r="N402" s="2">
        <f t="shared" si="9"/>
        <v>4</v>
      </c>
    </row>
    <row r="403">
      <c r="A403" s="2">
        <f t="shared" si="1"/>
        <v>402</v>
      </c>
      <c r="B403" s="3">
        <f t="shared" si="2"/>
        <v>45728</v>
      </c>
      <c r="C403" s="3">
        <f t="shared" si="3"/>
        <v>45764</v>
      </c>
      <c r="D403" s="3" t="str">
        <f t="shared" si="4"/>
        <v>Completed</v>
      </c>
      <c r="E403" s="2">
        <f t="shared" si="5"/>
        <v>36</v>
      </c>
      <c r="F403" s="2" t="str">
        <f t="array" ref="F403">INDEX(lists!F:F,RANDBETWEEN(1,6))
</f>
        <v>Bedroom</v>
      </c>
      <c r="G403" s="2" t="str">
        <f t="array" ref="G403">IFS(
F403="Bedroom",INDEX(lists!G:G,RANDBETWEEN(1,4)),
F403="Living Room",INDEX(lists!H:H,RANDBETWEEN(1,4)),
F403="Dining",INDEX(lists!I:I,RANDBETWEEN(1,2)),
F403="Kitchen",INDEX(lists!J:J,RANDBETWEEN(1,4)),
F403="Office",INDEX(lists!K:K,RANDBETWEEN(1,3)),
F403="Household Essentials",INDEX(lists!L:L,RANDBETWEEN(1,3))
)
</f>
        <v>Dresser</v>
      </c>
      <c r="H403" s="2">
        <f t="shared" si="6"/>
        <v>3</v>
      </c>
      <c r="I403" s="2">
        <f t="shared" si="7"/>
        <v>2</v>
      </c>
      <c r="J403" s="2" t="str">
        <f t="array" ref="J403">INDEX(lists!A:A,RANDBETWEEN(1,19))
</f>
        <v>GoGo Refill</v>
      </c>
      <c r="K403" s="2" t="str">
        <f t="array" ref="K403">INDEX(lists!N:N,RANDBETWEEN(1,6))
</f>
        <v>Biddeford</v>
      </c>
      <c r="L403" s="2">
        <f t="shared" si="8"/>
        <v>4</v>
      </c>
      <c r="M403" s="2" t="str">
        <f t="array" ref="M403">INDEX(lists!O:O,RANDBETWEEN(1,2))
</f>
        <v>Delivery</v>
      </c>
      <c r="N403" s="2">
        <f t="shared" si="9"/>
        <v>5</v>
      </c>
    </row>
    <row r="404">
      <c r="A404" s="2">
        <f t="shared" si="1"/>
        <v>403</v>
      </c>
      <c r="B404" s="3">
        <f t="shared" si="2"/>
        <v>45769</v>
      </c>
      <c r="C404" s="3" t="str">
        <f t="shared" si="3"/>
        <v/>
      </c>
      <c r="D404" s="3" t="str">
        <f t="shared" si="4"/>
        <v>Pending</v>
      </c>
      <c r="E404" s="2" t="str">
        <f t="shared" si="5"/>
        <v/>
      </c>
      <c r="F404" s="2" t="str">
        <f t="array" ref="F404">INDEX(lists!F:F,RANDBETWEEN(1,6))
</f>
        <v>Household Essentials</v>
      </c>
      <c r="G404" s="2" t="str">
        <f t="array" ref="G404">IFS(
F404="Bedroom",INDEX(lists!G:G,RANDBETWEEN(1,4)),
F404="Living Room",INDEX(lists!H:H,RANDBETWEEN(1,4)),
F404="Dining",INDEX(lists!I:I,RANDBETWEEN(1,2)),
F404="Kitchen",INDEX(lists!J:J,RANDBETWEEN(1,4)),
F404="Office",INDEX(lists!K:K,RANDBETWEEN(1,3)),
F404="Household Essentials",INDEX(lists!L:L,RANDBETWEEN(1,3))
)
</f>
        <v>Bedding</v>
      </c>
      <c r="H404" s="2">
        <f t="shared" si="6"/>
        <v>4</v>
      </c>
      <c r="I404" s="2" t="str">
        <f t="shared" si="7"/>
        <v/>
      </c>
      <c r="J404" s="2" t="str">
        <f t="array" ref="J404">INDEX(lists!A:A,RANDBETWEEN(1,19))
</f>
        <v>J.B Brown and Sons</v>
      </c>
      <c r="K404" s="2" t="str">
        <f t="array" ref="K404">INDEX(lists!N:N,RANDBETWEEN(1,6))
</f>
        <v>South Portland</v>
      </c>
      <c r="L404" s="2">
        <f t="shared" si="8"/>
        <v>5</v>
      </c>
      <c r="M404" s="2" t="str">
        <f t="array" ref="M404">INDEX(lists!O:O,RANDBETWEEN(1,2))
</f>
        <v>Pickup</v>
      </c>
      <c r="N404" s="2">
        <f t="shared" si="9"/>
        <v>3</v>
      </c>
    </row>
    <row r="405">
      <c r="A405" s="2">
        <f t="shared" si="1"/>
        <v>404</v>
      </c>
      <c r="B405" s="3">
        <f t="shared" si="2"/>
        <v>45375</v>
      </c>
      <c r="C405" s="3">
        <f t="shared" si="3"/>
        <v>45404</v>
      </c>
      <c r="D405" s="3" t="str">
        <f t="shared" si="4"/>
        <v>Completed</v>
      </c>
      <c r="E405" s="2">
        <f t="shared" si="5"/>
        <v>29</v>
      </c>
      <c r="F405" s="2" t="str">
        <f t="array" ref="F405">INDEX(lists!F:F,RANDBETWEEN(1,6))
</f>
        <v>Living Room</v>
      </c>
      <c r="G405" s="2" t="str">
        <f t="array" ref="G405">IFS(
F405="Bedroom",INDEX(lists!G:G,RANDBETWEEN(1,4)),
F405="Living Room",INDEX(lists!H:H,RANDBETWEEN(1,4)),
F405="Dining",INDEX(lists!I:I,RANDBETWEEN(1,2)),
F405="Kitchen",INDEX(lists!J:J,RANDBETWEEN(1,4)),
F405="Office",INDEX(lists!K:K,RANDBETWEEN(1,3)),
F405="Household Essentials",INDEX(lists!L:L,RANDBETWEEN(1,3))
)
</f>
        <v>TV Stand</v>
      </c>
      <c r="H405" s="2">
        <f t="shared" si="6"/>
        <v>2</v>
      </c>
      <c r="I405" s="2">
        <f t="shared" si="7"/>
        <v>2</v>
      </c>
      <c r="J405" s="2" t="str">
        <f t="array" ref="J405">INDEX(lists!A:A,RANDBETWEEN(1,19))
</f>
        <v>Rowe Ford Westbrook</v>
      </c>
      <c r="K405" s="2" t="str">
        <f t="array" ref="K405">INDEX(lists!N:N,RANDBETWEEN(1,6))
</f>
        <v>Westbrook</v>
      </c>
      <c r="L405" s="2">
        <f t="shared" si="8"/>
        <v>3</v>
      </c>
      <c r="M405" s="2" t="str">
        <f t="array" ref="M405">INDEX(lists!O:O,RANDBETWEEN(1,2))
</f>
        <v>Pickup</v>
      </c>
      <c r="N405" s="2">
        <f t="shared" si="9"/>
        <v>3</v>
      </c>
    </row>
    <row r="406">
      <c r="A406" s="2">
        <f t="shared" si="1"/>
        <v>405</v>
      </c>
      <c r="B406" s="3">
        <f t="shared" si="2"/>
        <v>45668</v>
      </c>
      <c r="C406" s="3">
        <f t="shared" si="3"/>
        <v>45682</v>
      </c>
      <c r="D406" s="3" t="str">
        <f t="shared" si="4"/>
        <v>Completed</v>
      </c>
      <c r="E406" s="2">
        <f t="shared" si="5"/>
        <v>14</v>
      </c>
      <c r="F406" s="2" t="str">
        <f t="array" ref="F406">INDEX(lists!F:F,RANDBETWEEN(1,6))
</f>
        <v>Household Essentials</v>
      </c>
      <c r="G406" s="2" t="str">
        <f t="array" ref="G406">IFS(
F406="Bedroom",INDEX(lists!G:G,RANDBETWEEN(1,4)),
F406="Living Room",INDEX(lists!H:H,RANDBETWEEN(1,4)),
F406="Dining",INDEX(lists!I:I,RANDBETWEEN(1,2)),
F406="Kitchen",INDEX(lists!J:J,RANDBETWEEN(1,4)),
F406="Office",INDEX(lists!K:K,RANDBETWEEN(1,3)),
F406="Household Essentials",INDEX(lists!L:L,RANDBETWEEN(1,3))
)
</f>
        <v>Bedding</v>
      </c>
      <c r="H406" s="2">
        <f t="shared" si="6"/>
        <v>4</v>
      </c>
      <c r="I406" s="2">
        <f t="shared" si="7"/>
        <v>3</v>
      </c>
      <c r="J406" s="2" t="str">
        <f t="array" ref="J406">INDEX(lists!A:A,RANDBETWEEN(1,19))
</f>
        <v>Maine Community Bank</v>
      </c>
      <c r="K406" s="2" t="str">
        <f t="array" ref="K406">INDEX(lists!N:N,RANDBETWEEN(1,6))
</f>
        <v>Portland</v>
      </c>
      <c r="L406" s="2">
        <f t="shared" si="8"/>
        <v>3</v>
      </c>
      <c r="M406" s="2" t="str">
        <f t="array" ref="M406">INDEX(lists!O:O,RANDBETWEEN(1,2))
</f>
        <v>Pickup</v>
      </c>
      <c r="N406" s="2">
        <f t="shared" si="9"/>
        <v>1</v>
      </c>
    </row>
    <row r="407">
      <c r="A407" s="2">
        <f t="shared" si="1"/>
        <v>406</v>
      </c>
      <c r="B407" s="3">
        <f t="shared" si="2"/>
        <v>45472</v>
      </c>
      <c r="C407" s="3" t="str">
        <f t="shared" si="3"/>
        <v/>
      </c>
      <c r="D407" s="3" t="str">
        <f t="shared" si="4"/>
        <v>Pending</v>
      </c>
      <c r="E407" s="2" t="str">
        <f t="shared" si="5"/>
        <v/>
      </c>
      <c r="F407" s="2" t="str">
        <f t="array" ref="F407">INDEX(lists!F:F,RANDBETWEEN(1,6))
</f>
        <v>Household Essentials</v>
      </c>
      <c r="G407" s="2" t="str">
        <f t="array" ref="G407">IFS(
F407="Bedroom",INDEX(lists!G:G,RANDBETWEEN(1,4)),
F407="Living Room",INDEX(lists!H:H,RANDBETWEEN(1,4)),
F407="Dining",INDEX(lists!I:I,RANDBETWEEN(1,2)),
F407="Kitchen",INDEX(lists!J:J,RANDBETWEEN(1,4)),
F407="Office",INDEX(lists!K:K,RANDBETWEEN(1,3)),
F407="Household Essentials",INDEX(lists!L:L,RANDBETWEEN(1,3))
)
</f>
        <v>Rugs</v>
      </c>
      <c r="H407" s="2">
        <f t="shared" si="6"/>
        <v>1</v>
      </c>
      <c r="I407" s="2" t="str">
        <f t="shared" si="7"/>
        <v/>
      </c>
      <c r="J407" s="2" t="str">
        <f t="array" ref="J407">INDEX(lists!A:A,RANDBETWEEN(1,19))
</f>
        <v>Shutterbugs 4 Charity</v>
      </c>
      <c r="K407" s="2" t="str">
        <f t="array" ref="K407">INDEX(lists!N:N,RANDBETWEEN(1,6))
</f>
        <v>South Portland</v>
      </c>
      <c r="L407" s="2">
        <f t="shared" si="8"/>
        <v>3</v>
      </c>
      <c r="M407" s="2" t="str">
        <f t="array" ref="M407">INDEX(lists!O:O,RANDBETWEEN(1,2))
</f>
        <v>Pickup</v>
      </c>
      <c r="N407" s="2">
        <f t="shared" si="9"/>
        <v>1</v>
      </c>
    </row>
    <row r="408">
      <c r="A408" s="2">
        <f t="shared" si="1"/>
        <v>407</v>
      </c>
      <c r="B408" s="3">
        <f t="shared" si="2"/>
        <v>45759</v>
      </c>
      <c r="C408" s="3">
        <f t="shared" si="3"/>
        <v>45766</v>
      </c>
      <c r="D408" s="3" t="str">
        <f t="shared" si="4"/>
        <v>Completed</v>
      </c>
      <c r="E408" s="2">
        <f t="shared" si="5"/>
        <v>7</v>
      </c>
      <c r="F408" s="2" t="str">
        <f t="array" ref="F408">INDEX(lists!F:F,RANDBETWEEN(1,6))
</f>
        <v>Bedroom</v>
      </c>
      <c r="G408" s="2" t="str">
        <f t="array" ref="G408">IFS(
F408="Bedroom",INDEX(lists!G:G,RANDBETWEEN(1,4)),
F408="Living Room",INDEX(lists!H:H,RANDBETWEEN(1,4)),
F408="Dining",INDEX(lists!I:I,RANDBETWEEN(1,2)),
F408="Kitchen",INDEX(lists!J:J,RANDBETWEEN(1,4)),
F408="Office",INDEX(lists!K:K,RANDBETWEEN(1,3)),
F408="Household Essentials",INDEX(lists!L:L,RANDBETWEEN(1,3))
)
</f>
        <v>Dresser</v>
      </c>
      <c r="H408" s="2">
        <f t="shared" si="6"/>
        <v>4</v>
      </c>
      <c r="I408" s="2">
        <f t="shared" si="7"/>
        <v>3</v>
      </c>
      <c r="J408" s="2" t="str">
        <f t="array" ref="J408">INDEX(lists!A:A,RANDBETWEEN(1,19))
</f>
        <v>Westbrook Housing</v>
      </c>
      <c r="K408" s="2" t="str">
        <f t="array" ref="K408">INDEX(lists!N:N,RANDBETWEEN(1,6))
</f>
        <v>Westbrook</v>
      </c>
      <c r="L408" s="2">
        <f t="shared" si="8"/>
        <v>3</v>
      </c>
      <c r="M408" s="2" t="str">
        <f t="array" ref="M408">INDEX(lists!O:O,RANDBETWEEN(1,2))
</f>
        <v>Delivery</v>
      </c>
      <c r="N408" s="2">
        <f t="shared" si="9"/>
        <v>3</v>
      </c>
    </row>
    <row r="409">
      <c r="A409" s="2">
        <f t="shared" si="1"/>
        <v>408</v>
      </c>
      <c r="B409" s="3">
        <f t="shared" si="2"/>
        <v>45760</v>
      </c>
      <c r="C409" s="3">
        <f t="shared" si="3"/>
        <v>45761</v>
      </c>
      <c r="D409" s="3" t="str">
        <f t="shared" si="4"/>
        <v>Completed</v>
      </c>
      <c r="E409" s="2">
        <f t="shared" si="5"/>
        <v>1</v>
      </c>
      <c r="F409" s="2" t="str">
        <f t="array" ref="F409">INDEX(lists!F:F,RANDBETWEEN(1,6))
</f>
        <v>Household Essentials</v>
      </c>
      <c r="G409" s="2" t="str">
        <f t="array" ref="G409">IFS(
F409="Bedroom",INDEX(lists!G:G,RANDBETWEEN(1,4)),
F409="Living Room",INDEX(lists!H:H,RANDBETWEEN(1,4)),
F409="Dining",INDEX(lists!I:I,RANDBETWEEN(1,2)),
F409="Kitchen",INDEX(lists!J:J,RANDBETWEEN(1,4)),
F409="Office",INDEX(lists!K:K,RANDBETWEEN(1,3)),
F409="Household Essentials",INDEX(lists!L:L,RANDBETWEEN(1,3))
)
</f>
        <v>Lamps</v>
      </c>
      <c r="H409" s="2">
        <f t="shared" si="6"/>
        <v>1</v>
      </c>
      <c r="I409" s="2">
        <f t="shared" si="7"/>
        <v>1</v>
      </c>
      <c r="J409" s="2" t="str">
        <f t="array" ref="J409">INDEX(lists!A:A,RANDBETWEEN(1,19))
</f>
        <v>Spiritual Workers</v>
      </c>
      <c r="K409" s="2" t="str">
        <f t="array" ref="K409">INDEX(lists!N:N,RANDBETWEEN(1,6))
</f>
        <v>South Portland</v>
      </c>
      <c r="L409" s="2">
        <f t="shared" si="8"/>
        <v>2</v>
      </c>
      <c r="M409" s="2" t="str">
        <f t="array" ref="M409">INDEX(lists!O:O,RANDBETWEEN(1,2))
</f>
        <v>Pickup</v>
      </c>
      <c r="N409" s="2">
        <f t="shared" si="9"/>
        <v>4</v>
      </c>
    </row>
    <row r="410">
      <c r="A410" s="2">
        <f t="shared" si="1"/>
        <v>409</v>
      </c>
      <c r="B410" s="3">
        <f t="shared" si="2"/>
        <v>45413</v>
      </c>
      <c r="C410" s="3">
        <f t="shared" si="3"/>
        <v>45434</v>
      </c>
      <c r="D410" s="3" t="str">
        <f t="shared" si="4"/>
        <v>Completed</v>
      </c>
      <c r="E410" s="2">
        <f t="shared" si="5"/>
        <v>21</v>
      </c>
      <c r="F410" s="2" t="str">
        <f t="array" ref="F410">INDEX(lists!F:F,RANDBETWEEN(1,6))
</f>
        <v>Office</v>
      </c>
      <c r="G410" s="2" t="str">
        <f t="array" ref="G410">IFS(
F410="Bedroom",INDEX(lists!G:G,RANDBETWEEN(1,4)),
F410="Living Room",INDEX(lists!H:H,RANDBETWEEN(1,4)),
F410="Dining",INDEX(lists!I:I,RANDBETWEEN(1,2)),
F410="Kitchen",INDEX(lists!J:J,RANDBETWEEN(1,4)),
F410="Office",INDEX(lists!K:K,RANDBETWEEN(1,3)),
F410="Household Essentials",INDEX(lists!L:L,RANDBETWEEN(1,3))
)
</f>
        <v>Bookshelf</v>
      </c>
      <c r="H410" s="2">
        <f t="shared" si="6"/>
        <v>4</v>
      </c>
      <c r="I410" s="2">
        <f t="shared" si="7"/>
        <v>2</v>
      </c>
      <c r="J410" s="2" t="str">
        <f t="array" ref="J410">INDEX(lists!A:A,RANDBETWEEN(1,19))
</f>
        <v>Saco &amp; Biddeford Savings</v>
      </c>
      <c r="K410" s="2" t="str">
        <f t="array" ref="K410">INDEX(lists!N:N,RANDBETWEEN(1,6))
</f>
        <v>Biddeford</v>
      </c>
      <c r="L410" s="2">
        <f t="shared" si="8"/>
        <v>4</v>
      </c>
      <c r="M410" s="2" t="str">
        <f t="array" ref="M410">INDEX(lists!O:O,RANDBETWEEN(1,2))
</f>
        <v>Pickup</v>
      </c>
      <c r="N410" s="2">
        <f t="shared" si="9"/>
        <v>3</v>
      </c>
    </row>
    <row r="411">
      <c r="A411" s="2">
        <f t="shared" si="1"/>
        <v>410</v>
      </c>
      <c r="B411" s="3">
        <f t="shared" si="2"/>
        <v>45481</v>
      </c>
      <c r="C411" s="3">
        <f t="shared" si="3"/>
        <v>45482</v>
      </c>
      <c r="D411" s="3" t="str">
        <f t="shared" si="4"/>
        <v>Completed</v>
      </c>
      <c r="E411" s="2">
        <f t="shared" si="5"/>
        <v>1</v>
      </c>
      <c r="F411" s="2" t="str">
        <f t="array" ref="F411">INDEX(lists!F:F,RANDBETWEEN(1,6))
</f>
        <v>Dining</v>
      </c>
      <c r="G411" s="2" t="str">
        <f t="array" ref="G411">IFS(
F411="Bedroom",INDEX(lists!G:G,RANDBETWEEN(1,4)),
F411="Living Room",INDEX(lists!H:H,RANDBETWEEN(1,4)),
F411="Dining",INDEX(lists!I:I,RANDBETWEEN(1,2)),
F411="Kitchen",INDEX(lists!J:J,RANDBETWEEN(1,4)),
F411="Office",INDEX(lists!K:K,RANDBETWEEN(1,3)),
F411="Household Essentials",INDEX(lists!L:L,RANDBETWEEN(1,3))
)
</f>
        <v>Dining Table</v>
      </c>
      <c r="H411" s="2">
        <f t="shared" si="6"/>
        <v>3</v>
      </c>
      <c r="I411" s="2">
        <f t="shared" si="7"/>
        <v>3</v>
      </c>
      <c r="J411" s="2" t="str">
        <f t="array" ref="J411">INDEX(lists!A:A,RANDBETWEEN(1,19))
</f>
        <v>Shutterbugs 4 Charity</v>
      </c>
      <c r="K411" s="2" t="str">
        <f t="array" ref="K411">INDEX(lists!N:N,RANDBETWEEN(1,6))
</f>
        <v>Scarborough</v>
      </c>
      <c r="L411" s="2">
        <f t="shared" si="8"/>
        <v>5</v>
      </c>
      <c r="M411" s="2" t="str">
        <f t="array" ref="M411">INDEX(lists!O:O,RANDBETWEEN(1,2))
</f>
        <v>Pickup</v>
      </c>
      <c r="N411" s="2">
        <f t="shared" si="9"/>
        <v>1</v>
      </c>
    </row>
    <row r="412">
      <c r="A412" s="2">
        <f t="shared" si="1"/>
        <v>411</v>
      </c>
      <c r="B412" s="3">
        <f t="shared" si="2"/>
        <v>45662</v>
      </c>
      <c r="C412" s="3">
        <f t="shared" si="3"/>
        <v>45674</v>
      </c>
      <c r="D412" s="3" t="str">
        <f t="shared" si="4"/>
        <v>Completed</v>
      </c>
      <c r="E412" s="2">
        <f t="shared" si="5"/>
        <v>12</v>
      </c>
      <c r="F412" s="2" t="str">
        <f t="array" ref="F412">INDEX(lists!F:F,RANDBETWEEN(1,6))
</f>
        <v>Kitchen</v>
      </c>
      <c r="G412" s="2" t="str">
        <f t="array" ref="G412">IFS(
F412="Bedroom",INDEX(lists!G:G,RANDBETWEEN(1,4)),
F412="Living Room",INDEX(lists!H:H,RANDBETWEEN(1,4)),
F412="Dining",INDEX(lists!I:I,RANDBETWEEN(1,2)),
F412="Kitchen",INDEX(lists!J:J,RANDBETWEEN(1,4)),
F412="Office",INDEX(lists!K:K,RANDBETWEEN(1,3)),
F412="Household Essentials",INDEX(lists!L:L,RANDBETWEEN(1,3))
)
</f>
        <v>Microwave</v>
      </c>
      <c r="H412" s="2">
        <f t="shared" si="6"/>
        <v>1</v>
      </c>
      <c r="I412" s="2">
        <f t="shared" si="7"/>
        <v>1</v>
      </c>
      <c r="J412" s="2" t="str">
        <f t="array" ref="J412">INDEX(lists!A:A,RANDBETWEEN(1,19))
</f>
        <v>Spiritual Workers</v>
      </c>
      <c r="K412" s="2" t="str">
        <f t="array" ref="K412">INDEX(lists!N:N,RANDBETWEEN(1,6))
</f>
        <v>Falmouth</v>
      </c>
      <c r="L412" s="2">
        <f t="shared" si="8"/>
        <v>6</v>
      </c>
      <c r="M412" s="2" t="str">
        <f t="array" ref="M412">INDEX(lists!O:O,RANDBETWEEN(1,2))
</f>
        <v>Delivery</v>
      </c>
      <c r="N412" s="2">
        <f t="shared" si="9"/>
        <v>3</v>
      </c>
    </row>
    <row r="413">
      <c r="A413" s="2">
        <f t="shared" si="1"/>
        <v>412</v>
      </c>
      <c r="B413" s="3">
        <f t="shared" si="2"/>
        <v>45647</v>
      </c>
      <c r="C413" s="3" t="str">
        <f t="shared" si="3"/>
        <v/>
      </c>
      <c r="D413" s="3" t="str">
        <f t="shared" si="4"/>
        <v>Pending</v>
      </c>
      <c r="E413" s="2" t="str">
        <f t="shared" si="5"/>
        <v/>
      </c>
      <c r="F413" s="2" t="str">
        <f t="array" ref="F413">INDEX(lists!F:F,RANDBETWEEN(1,6))
</f>
        <v>Living Room</v>
      </c>
      <c r="G413" s="2" t="str">
        <f t="array" ref="G413">IFS(
F413="Bedroom",INDEX(lists!G:G,RANDBETWEEN(1,4)),
F413="Living Room",INDEX(lists!H:H,RANDBETWEEN(1,4)),
F413="Dining",INDEX(lists!I:I,RANDBETWEEN(1,2)),
F413="Kitchen",INDEX(lists!J:J,RANDBETWEEN(1,4)),
F413="Office",INDEX(lists!K:K,RANDBETWEEN(1,3)),
F413="Household Essentials",INDEX(lists!L:L,RANDBETWEEN(1,3))
)
</f>
        <v>Armchair</v>
      </c>
      <c r="H413" s="2">
        <f t="shared" si="6"/>
        <v>3</v>
      </c>
      <c r="I413" s="2" t="str">
        <f t="shared" si="7"/>
        <v/>
      </c>
      <c r="J413" s="2" t="str">
        <f t="array" ref="J413">INDEX(lists!A:A,RANDBETWEEN(1,19))
</f>
        <v>Coffee By Design</v>
      </c>
      <c r="K413" s="2" t="str">
        <f t="array" ref="K413">INDEX(lists!N:N,RANDBETWEEN(1,6))
</f>
        <v>Falmouth</v>
      </c>
      <c r="L413" s="2">
        <f t="shared" si="8"/>
        <v>3</v>
      </c>
      <c r="M413" s="2" t="str">
        <f t="array" ref="M413">INDEX(lists!O:O,RANDBETWEEN(1,2))
</f>
        <v>Pickup</v>
      </c>
      <c r="N413" s="2">
        <f t="shared" si="9"/>
        <v>6</v>
      </c>
    </row>
    <row r="414">
      <c r="A414" s="2">
        <f t="shared" si="1"/>
        <v>413</v>
      </c>
      <c r="B414" s="3">
        <f t="shared" si="2"/>
        <v>45612</v>
      </c>
      <c r="C414" s="3">
        <f t="shared" si="3"/>
        <v>45613</v>
      </c>
      <c r="D414" s="3" t="str">
        <f t="shared" si="4"/>
        <v>Completed</v>
      </c>
      <c r="E414" s="2">
        <f t="shared" si="5"/>
        <v>1</v>
      </c>
      <c r="F414" s="2" t="str">
        <f t="array" ref="F414">INDEX(lists!F:F,RANDBETWEEN(1,6))
</f>
        <v>Office</v>
      </c>
      <c r="G414" s="2" t="str">
        <f t="array" ref="G414">IFS(
F414="Bedroom",INDEX(lists!G:G,RANDBETWEEN(1,4)),
F414="Living Room",INDEX(lists!H:H,RANDBETWEEN(1,4)),
F414="Dining",INDEX(lists!I:I,RANDBETWEEN(1,2)),
F414="Kitchen",INDEX(lists!J:J,RANDBETWEEN(1,4)),
F414="Office",INDEX(lists!K:K,RANDBETWEEN(1,3)),
F414="Household Essentials",INDEX(lists!L:L,RANDBETWEEN(1,3))
)
</f>
        <v>Bookshelf</v>
      </c>
      <c r="H414" s="2">
        <f t="shared" si="6"/>
        <v>4</v>
      </c>
      <c r="I414" s="2">
        <f t="shared" si="7"/>
        <v>4</v>
      </c>
      <c r="J414" s="2" t="str">
        <f t="array" ref="J414">INDEX(lists!A:A,RANDBETWEEN(1,19))
</f>
        <v>Systems Engineering</v>
      </c>
      <c r="K414" s="2" t="str">
        <f t="array" ref="K414">INDEX(lists!N:N,RANDBETWEEN(1,6))
</f>
        <v>Portland</v>
      </c>
      <c r="L414" s="2">
        <f t="shared" si="8"/>
        <v>2</v>
      </c>
      <c r="M414" s="2" t="str">
        <f t="array" ref="M414">INDEX(lists!O:O,RANDBETWEEN(1,2))
</f>
        <v>Delivery</v>
      </c>
      <c r="N414" s="2">
        <f t="shared" si="9"/>
        <v>5</v>
      </c>
    </row>
    <row r="415">
      <c r="A415" s="2">
        <f t="shared" si="1"/>
        <v>414</v>
      </c>
      <c r="B415" s="3">
        <f t="shared" si="2"/>
        <v>45304</v>
      </c>
      <c r="C415" s="3">
        <f t="shared" si="3"/>
        <v>45312</v>
      </c>
      <c r="D415" s="3" t="str">
        <f t="shared" si="4"/>
        <v>Completed</v>
      </c>
      <c r="E415" s="2">
        <f t="shared" si="5"/>
        <v>8</v>
      </c>
      <c r="F415" s="2" t="str">
        <f t="array" ref="F415">INDEX(lists!F:F,RANDBETWEEN(1,6))
</f>
        <v>Dining</v>
      </c>
      <c r="G415" s="2" t="str">
        <f t="array" ref="G415">IFS(
F415="Bedroom",INDEX(lists!G:G,RANDBETWEEN(1,4)),
F415="Living Room",INDEX(lists!H:H,RANDBETWEEN(1,4)),
F415="Dining",INDEX(lists!I:I,RANDBETWEEN(1,2)),
F415="Kitchen",INDEX(lists!J:J,RANDBETWEEN(1,4)),
F415="Office",INDEX(lists!K:K,RANDBETWEEN(1,3)),
F415="Household Essentials",INDEX(lists!L:L,RANDBETWEEN(1,3))
)
</f>
        <v>Dining Table</v>
      </c>
      <c r="H415" s="2">
        <f t="shared" si="6"/>
        <v>4</v>
      </c>
      <c r="I415" s="2">
        <f t="shared" si="7"/>
        <v>1</v>
      </c>
      <c r="J415" s="2" t="str">
        <f t="array" ref="J415">INDEX(lists!A:A,RANDBETWEEN(1,19))
</f>
        <v>Spiritual Workers</v>
      </c>
      <c r="K415" s="2" t="str">
        <f t="array" ref="K415">INDEX(lists!N:N,RANDBETWEEN(1,6))
</f>
        <v>Falmouth</v>
      </c>
      <c r="L415" s="2">
        <f t="shared" si="8"/>
        <v>4</v>
      </c>
      <c r="M415" s="2" t="str">
        <f t="array" ref="M415">INDEX(lists!O:O,RANDBETWEEN(1,2))
</f>
        <v>Delivery</v>
      </c>
      <c r="N415" s="2">
        <f t="shared" si="9"/>
        <v>2</v>
      </c>
    </row>
    <row r="416">
      <c r="A416" s="2">
        <f t="shared" si="1"/>
        <v>415</v>
      </c>
      <c r="B416" s="3">
        <f t="shared" si="2"/>
        <v>45547</v>
      </c>
      <c r="C416" s="3">
        <f t="shared" si="3"/>
        <v>45574</v>
      </c>
      <c r="D416" s="3" t="str">
        <f t="shared" si="4"/>
        <v>Completed</v>
      </c>
      <c r="E416" s="2">
        <f t="shared" si="5"/>
        <v>27</v>
      </c>
      <c r="F416" s="2" t="str">
        <f t="array" ref="F416">INDEX(lists!F:F,RANDBETWEEN(1,6))
</f>
        <v>Office</v>
      </c>
      <c r="G416" s="2" t="str">
        <f t="array" ref="G416">IFS(
F416="Bedroom",INDEX(lists!G:G,RANDBETWEEN(1,4)),
F416="Living Room",INDEX(lists!H:H,RANDBETWEEN(1,4)),
F416="Dining",INDEX(lists!I:I,RANDBETWEEN(1,2)),
F416="Kitchen",INDEX(lists!J:J,RANDBETWEEN(1,4)),
F416="Office",INDEX(lists!K:K,RANDBETWEEN(1,3)),
F416="Household Essentials",INDEX(lists!L:L,RANDBETWEEN(1,3))
)
</f>
        <v>Office Chair</v>
      </c>
      <c r="H416" s="2">
        <f t="shared" si="6"/>
        <v>1</v>
      </c>
      <c r="I416" s="2">
        <f t="shared" si="7"/>
        <v>1</v>
      </c>
      <c r="J416" s="2" t="str">
        <f t="array" ref="J416">INDEX(lists!A:A,RANDBETWEEN(1,19))
</f>
        <v>Westbrook Housing</v>
      </c>
      <c r="K416" s="2" t="str">
        <f t="array" ref="K416">INDEX(lists!N:N,RANDBETWEEN(1,6))
</f>
        <v>Portland</v>
      </c>
      <c r="L416" s="2">
        <f t="shared" si="8"/>
        <v>6</v>
      </c>
      <c r="M416" s="2" t="str">
        <f t="array" ref="M416">INDEX(lists!O:O,RANDBETWEEN(1,2))
</f>
        <v>Pickup</v>
      </c>
      <c r="N416" s="2">
        <f t="shared" si="9"/>
        <v>5</v>
      </c>
    </row>
    <row r="417">
      <c r="A417" s="2">
        <f t="shared" si="1"/>
        <v>416</v>
      </c>
      <c r="B417" s="3">
        <f t="shared" si="2"/>
        <v>45378</v>
      </c>
      <c r="C417" s="3">
        <f t="shared" si="3"/>
        <v>45382</v>
      </c>
      <c r="D417" s="3" t="str">
        <f t="shared" si="4"/>
        <v>Completed</v>
      </c>
      <c r="E417" s="2">
        <f t="shared" si="5"/>
        <v>4</v>
      </c>
      <c r="F417" s="2" t="str">
        <f t="array" ref="F417">INDEX(lists!F:F,RANDBETWEEN(1,6))
</f>
        <v>Kitchen</v>
      </c>
      <c r="G417" s="2" t="str">
        <f t="array" ref="G417">IFS(
F417="Bedroom",INDEX(lists!G:G,RANDBETWEEN(1,4)),
F417="Living Room",INDEX(lists!H:H,RANDBETWEEN(1,4)),
F417="Dining",INDEX(lists!I:I,RANDBETWEEN(1,2)),
F417="Kitchen",INDEX(lists!J:J,RANDBETWEEN(1,4)),
F417="Office",INDEX(lists!K:K,RANDBETWEEN(1,3)),
F417="Household Essentials",INDEX(lists!L:L,RANDBETWEEN(1,3))
)
</f>
        <v>Microwave</v>
      </c>
      <c r="H417" s="2">
        <f t="shared" si="6"/>
        <v>3</v>
      </c>
      <c r="I417" s="2">
        <f t="shared" si="7"/>
        <v>3</v>
      </c>
      <c r="J417" s="2" t="str">
        <f t="array" ref="J417">INDEX(lists!A:A,RANDBETWEEN(1,19))
</f>
        <v>Center for Real Estate Studies</v>
      </c>
      <c r="K417" s="2" t="str">
        <f t="array" ref="K417">INDEX(lists!N:N,RANDBETWEEN(1,6))
</f>
        <v>Portland</v>
      </c>
      <c r="L417" s="2">
        <f t="shared" si="8"/>
        <v>3</v>
      </c>
      <c r="M417" s="2" t="str">
        <f t="array" ref="M417">INDEX(lists!O:O,RANDBETWEEN(1,2))
</f>
        <v>Pickup</v>
      </c>
      <c r="N417" s="2">
        <f t="shared" si="9"/>
        <v>2</v>
      </c>
    </row>
    <row r="418">
      <c r="A418" s="2">
        <f t="shared" si="1"/>
        <v>417</v>
      </c>
      <c r="B418" s="3">
        <f t="shared" si="2"/>
        <v>45314</v>
      </c>
      <c r="C418" s="3">
        <f t="shared" si="3"/>
        <v>45327</v>
      </c>
      <c r="D418" s="3" t="str">
        <f t="shared" si="4"/>
        <v>Completed</v>
      </c>
      <c r="E418" s="2">
        <f t="shared" si="5"/>
        <v>13</v>
      </c>
      <c r="F418" s="2" t="str">
        <f t="array" ref="F418">INDEX(lists!F:F,RANDBETWEEN(1,6))
</f>
        <v>Kitchen</v>
      </c>
      <c r="G418" s="2" t="str">
        <f t="array" ref="G418">IFS(
F418="Bedroom",INDEX(lists!G:G,RANDBETWEEN(1,4)),
F418="Living Room",INDEX(lists!H:H,RANDBETWEEN(1,4)),
F418="Dining",INDEX(lists!I:I,RANDBETWEEN(1,2)),
F418="Kitchen",INDEX(lists!J:J,RANDBETWEEN(1,4)),
F418="Office",INDEX(lists!K:K,RANDBETWEEN(1,3)),
F418="Household Essentials",INDEX(lists!L:L,RANDBETWEEN(1,3))
)
</f>
        <v>Microwave</v>
      </c>
      <c r="H418" s="2">
        <f t="shared" si="6"/>
        <v>4</v>
      </c>
      <c r="I418" s="2">
        <f t="shared" si="7"/>
        <v>3</v>
      </c>
      <c r="J418" s="2" t="str">
        <f t="array" ref="J418">INDEX(lists!A:A,RANDBETWEEN(1,19))
</f>
        <v>Saco &amp; Biddeford Savings</v>
      </c>
      <c r="K418" s="2" t="str">
        <f t="array" ref="K418">INDEX(lists!N:N,RANDBETWEEN(1,6))
</f>
        <v>Portland</v>
      </c>
      <c r="L418" s="2">
        <f t="shared" si="8"/>
        <v>4</v>
      </c>
      <c r="M418" s="2" t="str">
        <f t="array" ref="M418">INDEX(lists!O:O,RANDBETWEEN(1,2))
</f>
        <v>Pickup</v>
      </c>
      <c r="N418" s="2">
        <f t="shared" si="9"/>
        <v>1</v>
      </c>
    </row>
    <row r="419">
      <c r="A419" s="2">
        <f t="shared" si="1"/>
        <v>418</v>
      </c>
      <c r="B419" s="3">
        <f t="shared" si="2"/>
        <v>45711</v>
      </c>
      <c r="C419" s="3">
        <f t="shared" si="3"/>
        <v>45714</v>
      </c>
      <c r="D419" s="3" t="str">
        <f t="shared" si="4"/>
        <v>Completed</v>
      </c>
      <c r="E419" s="2">
        <f t="shared" si="5"/>
        <v>3</v>
      </c>
      <c r="F419" s="2" t="str">
        <f t="array" ref="F419">INDEX(lists!F:F,RANDBETWEEN(1,6))
</f>
        <v>Living Room</v>
      </c>
      <c r="G419" s="2" t="str">
        <f t="array" ref="G419">IFS(
F419="Bedroom",INDEX(lists!G:G,RANDBETWEEN(1,4)),
F419="Living Room",INDEX(lists!H:H,RANDBETWEEN(1,4)),
F419="Dining",INDEX(lists!I:I,RANDBETWEEN(1,2)),
F419="Kitchen",INDEX(lists!J:J,RANDBETWEEN(1,4)),
F419="Office",INDEX(lists!K:K,RANDBETWEEN(1,3)),
F419="Household Essentials",INDEX(lists!L:L,RANDBETWEEN(1,3))
)
</f>
        <v>Armchair</v>
      </c>
      <c r="H419" s="2">
        <f t="shared" si="6"/>
        <v>4</v>
      </c>
      <c r="I419" s="2">
        <f t="shared" si="7"/>
        <v>4</v>
      </c>
      <c r="J419" s="2" t="str">
        <f t="array" ref="J419">INDEX(lists!A:A,RANDBETWEEN(1,19))
</f>
        <v>Shutterbugs 4 Charity</v>
      </c>
      <c r="K419" s="2" t="str">
        <f t="array" ref="K419">INDEX(lists!N:N,RANDBETWEEN(1,6))
</f>
        <v>South Portland</v>
      </c>
      <c r="L419" s="2">
        <f t="shared" si="8"/>
        <v>3</v>
      </c>
      <c r="M419" s="2" t="str">
        <f t="array" ref="M419">INDEX(lists!O:O,RANDBETWEEN(1,2))
</f>
        <v>Pickup</v>
      </c>
      <c r="N419" s="2">
        <f t="shared" si="9"/>
        <v>1</v>
      </c>
    </row>
    <row r="420">
      <c r="A420" s="2">
        <f t="shared" si="1"/>
        <v>419</v>
      </c>
      <c r="B420" s="3">
        <f t="shared" si="2"/>
        <v>45568</v>
      </c>
      <c r="C420" s="3">
        <f t="shared" si="3"/>
        <v>45579</v>
      </c>
      <c r="D420" s="3" t="str">
        <f t="shared" si="4"/>
        <v>Completed</v>
      </c>
      <c r="E420" s="2">
        <f t="shared" si="5"/>
        <v>11</v>
      </c>
      <c r="F420" s="2" t="str">
        <f t="array" ref="F420">INDEX(lists!F:F,RANDBETWEEN(1,6))
</f>
        <v>Kitchen</v>
      </c>
      <c r="G420" s="2" t="str">
        <f t="array" ref="G420">IFS(
F420="Bedroom",INDEX(lists!G:G,RANDBETWEEN(1,4)),
F420="Living Room",INDEX(lists!H:H,RANDBETWEEN(1,4)),
F420="Dining",INDEX(lists!I:I,RANDBETWEEN(1,2)),
F420="Kitchen",INDEX(lists!J:J,RANDBETWEEN(1,4)),
F420="Office",INDEX(lists!K:K,RANDBETWEEN(1,3)),
F420="Household Essentials",INDEX(lists!L:L,RANDBETWEEN(1,3))
)
</f>
        <v>Microwave</v>
      </c>
      <c r="H420" s="2">
        <f t="shared" si="6"/>
        <v>1</v>
      </c>
      <c r="I420" s="2">
        <f t="shared" si="7"/>
        <v>1</v>
      </c>
      <c r="J420" s="2" t="str">
        <f t="array" ref="J420">INDEX(lists!A:A,RANDBETWEEN(1,19))
</f>
        <v>Jordan's Furniture</v>
      </c>
      <c r="K420" s="2" t="str">
        <f t="array" ref="K420">INDEX(lists!N:N,RANDBETWEEN(1,6))
</f>
        <v>Scarborough</v>
      </c>
      <c r="L420" s="2">
        <f t="shared" si="8"/>
        <v>1</v>
      </c>
      <c r="M420" s="2" t="str">
        <f t="array" ref="M420">INDEX(lists!O:O,RANDBETWEEN(1,2))
</f>
        <v>Pickup</v>
      </c>
      <c r="N420" s="2">
        <f t="shared" si="9"/>
        <v>6</v>
      </c>
    </row>
    <row r="421">
      <c r="A421" s="2">
        <f t="shared" si="1"/>
        <v>420</v>
      </c>
      <c r="B421" s="3">
        <f t="shared" si="2"/>
        <v>45599</v>
      </c>
      <c r="C421" s="3">
        <f t="shared" si="3"/>
        <v>45602</v>
      </c>
      <c r="D421" s="3" t="str">
        <f t="shared" si="4"/>
        <v>Completed</v>
      </c>
      <c r="E421" s="2">
        <f t="shared" si="5"/>
        <v>3</v>
      </c>
      <c r="F421" s="2" t="str">
        <f t="array" ref="F421">INDEX(lists!F:F,RANDBETWEEN(1,6))
</f>
        <v>Dining</v>
      </c>
      <c r="G421" s="2" t="str">
        <f t="array" ref="G421">IFS(
F421="Bedroom",INDEX(lists!G:G,RANDBETWEEN(1,4)),
F421="Living Room",INDEX(lists!H:H,RANDBETWEEN(1,4)),
F421="Dining",INDEX(lists!I:I,RANDBETWEEN(1,2)),
F421="Kitchen",INDEX(lists!J:J,RANDBETWEEN(1,4)),
F421="Office",INDEX(lists!K:K,RANDBETWEEN(1,3)),
F421="Household Essentials",INDEX(lists!L:L,RANDBETWEEN(1,3))
)
</f>
        <v>Dining Table</v>
      </c>
      <c r="H421" s="2">
        <f t="shared" si="6"/>
        <v>2</v>
      </c>
      <c r="I421" s="2">
        <f t="shared" si="7"/>
        <v>2</v>
      </c>
      <c r="J421" s="2" t="str">
        <f t="array" ref="J421">INDEX(lists!A:A,RANDBETWEEN(1,19))
</f>
        <v>Developers Collaborative</v>
      </c>
      <c r="K421" s="2" t="str">
        <f t="array" ref="K421">INDEX(lists!N:N,RANDBETWEEN(1,6))
</f>
        <v>Biddeford</v>
      </c>
      <c r="L421" s="2">
        <f t="shared" si="8"/>
        <v>4</v>
      </c>
      <c r="M421" s="2" t="str">
        <f t="array" ref="M421">INDEX(lists!O:O,RANDBETWEEN(1,2))
</f>
        <v>Delivery</v>
      </c>
      <c r="N421" s="2">
        <f t="shared" si="9"/>
        <v>1</v>
      </c>
    </row>
    <row r="422">
      <c r="A422" s="2">
        <f t="shared" si="1"/>
        <v>421</v>
      </c>
      <c r="B422" s="3">
        <f t="shared" si="2"/>
        <v>45437</v>
      </c>
      <c r="C422" s="3" t="str">
        <f t="shared" si="3"/>
        <v/>
      </c>
      <c r="D422" s="3" t="str">
        <f t="shared" si="4"/>
        <v>Pending</v>
      </c>
      <c r="E422" s="2" t="str">
        <f t="shared" si="5"/>
        <v/>
      </c>
      <c r="F422" s="2" t="str">
        <f t="array" ref="F422">INDEX(lists!F:F,RANDBETWEEN(1,6))
</f>
        <v>Office</v>
      </c>
      <c r="G422" s="2" t="str">
        <f t="array" ref="G422">IFS(
F422="Bedroom",INDEX(lists!G:G,RANDBETWEEN(1,4)),
F422="Living Room",INDEX(lists!H:H,RANDBETWEEN(1,4)),
F422="Dining",INDEX(lists!I:I,RANDBETWEEN(1,2)),
F422="Kitchen",INDEX(lists!J:J,RANDBETWEEN(1,4)),
F422="Office",INDEX(lists!K:K,RANDBETWEEN(1,3)),
F422="Household Essentials",INDEX(lists!L:L,RANDBETWEEN(1,3))
)
</f>
        <v>Desk</v>
      </c>
      <c r="H422" s="2">
        <f t="shared" si="6"/>
        <v>4</v>
      </c>
      <c r="I422" s="2" t="str">
        <f t="shared" si="7"/>
        <v/>
      </c>
      <c r="J422" s="2" t="str">
        <f t="array" ref="J422">INDEX(lists!A:A,RANDBETWEEN(1,19))
</f>
        <v>Diversified</v>
      </c>
      <c r="K422" s="2" t="str">
        <f t="array" ref="K422">INDEX(lists!N:N,RANDBETWEEN(1,6))
</f>
        <v>South Portland</v>
      </c>
      <c r="L422" s="2">
        <f t="shared" si="8"/>
        <v>1</v>
      </c>
      <c r="M422" s="2" t="str">
        <f t="array" ref="M422">INDEX(lists!O:O,RANDBETWEEN(1,2))
</f>
        <v>Delivery</v>
      </c>
      <c r="N422" s="2">
        <f t="shared" si="9"/>
        <v>3</v>
      </c>
    </row>
    <row r="423">
      <c r="A423" s="2">
        <f t="shared" si="1"/>
        <v>422</v>
      </c>
      <c r="B423" s="3">
        <f t="shared" si="2"/>
        <v>45717</v>
      </c>
      <c r="C423" s="3">
        <f t="shared" si="3"/>
        <v>45729</v>
      </c>
      <c r="D423" s="3" t="str">
        <f t="shared" si="4"/>
        <v>Completed</v>
      </c>
      <c r="E423" s="2">
        <f t="shared" si="5"/>
        <v>12</v>
      </c>
      <c r="F423" s="2" t="str">
        <f t="array" ref="F423">INDEX(lists!F:F,RANDBETWEEN(1,6))
</f>
        <v>Household Essentials</v>
      </c>
      <c r="G423" s="2" t="str">
        <f t="array" ref="G423">IFS(
F423="Bedroom",INDEX(lists!G:G,RANDBETWEEN(1,4)),
F423="Living Room",INDEX(lists!H:H,RANDBETWEEN(1,4)),
F423="Dining",INDEX(lists!I:I,RANDBETWEEN(1,2)),
F423="Kitchen",INDEX(lists!J:J,RANDBETWEEN(1,4)),
F423="Office",INDEX(lists!K:K,RANDBETWEEN(1,3)),
F423="Household Essentials",INDEX(lists!L:L,RANDBETWEEN(1,3))
)
</f>
        <v>Rugs</v>
      </c>
      <c r="H423" s="2">
        <f t="shared" si="6"/>
        <v>1</v>
      </c>
      <c r="I423" s="2">
        <f t="shared" si="7"/>
        <v>1</v>
      </c>
      <c r="J423" s="2" t="str">
        <f t="array" ref="J423">INDEX(lists!A:A,RANDBETWEEN(1,19))
</f>
        <v>Maine Community Bank</v>
      </c>
      <c r="K423" s="2" t="str">
        <f t="array" ref="K423">INDEX(lists!N:N,RANDBETWEEN(1,6))
</f>
        <v>South Portland</v>
      </c>
      <c r="L423" s="2">
        <f t="shared" si="8"/>
        <v>1</v>
      </c>
      <c r="M423" s="2" t="str">
        <f t="array" ref="M423">INDEX(lists!O:O,RANDBETWEEN(1,2))
</f>
        <v>Delivery</v>
      </c>
      <c r="N423" s="2">
        <f t="shared" si="9"/>
        <v>4</v>
      </c>
    </row>
    <row r="424">
      <c r="A424" s="2">
        <f t="shared" si="1"/>
        <v>423</v>
      </c>
      <c r="B424" s="3">
        <f t="shared" si="2"/>
        <v>45347</v>
      </c>
      <c r="C424" s="3">
        <f t="shared" si="3"/>
        <v>45383</v>
      </c>
      <c r="D424" s="3" t="str">
        <f t="shared" si="4"/>
        <v>Completed</v>
      </c>
      <c r="E424" s="2">
        <f t="shared" si="5"/>
        <v>36</v>
      </c>
      <c r="F424" s="2" t="str">
        <f t="array" ref="F424">INDEX(lists!F:F,RANDBETWEEN(1,6))
</f>
        <v>Bedroom</v>
      </c>
      <c r="G424" s="2" t="str">
        <f t="array" ref="G424">IFS(
F424="Bedroom",INDEX(lists!G:G,RANDBETWEEN(1,4)),
F424="Living Room",INDEX(lists!H:H,RANDBETWEEN(1,4)),
F424="Dining",INDEX(lists!I:I,RANDBETWEEN(1,2)),
F424="Kitchen",INDEX(lists!J:J,RANDBETWEEN(1,4)),
F424="Office",INDEX(lists!K:K,RANDBETWEEN(1,3)),
F424="Household Essentials",INDEX(lists!L:L,RANDBETWEEN(1,3))
)
</f>
        <v>Mattress</v>
      </c>
      <c r="H424" s="2">
        <f t="shared" si="6"/>
        <v>3</v>
      </c>
      <c r="I424" s="2">
        <f t="shared" si="7"/>
        <v>3</v>
      </c>
      <c r="J424" s="2" t="str">
        <f t="array" ref="J424">INDEX(lists!A:A,RANDBETWEEN(1,19))
</f>
        <v>Jordan's Furniture</v>
      </c>
      <c r="K424" s="2" t="str">
        <f t="array" ref="K424">INDEX(lists!N:N,RANDBETWEEN(1,6))
</f>
        <v>Westbrook</v>
      </c>
      <c r="L424" s="2">
        <f t="shared" si="8"/>
        <v>3</v>
      </c>
      <c r="M424" s="2" t="str">
        <f t="array" ref="M424">INDEX(lists!O:O,RANDBETWEEN(1,2))
</f>
        <v>Delivery</v>
      </c>
      <c r="N424" s="2">
        <f t="shared" si="9"/>
        <v>1</v>
      </c>
    </row>
    <row r="425">
      <c r="A425" s="2">
        <f t="shared" si="1"/>
        <v>424</v>
      </c>
      <c r="B425" s="3">
        <f t="shared" si="2"/>
        <v>45461</v>
      </c>
      <c r="C425" s="3">
        <f t="shared" si="3"/>
        <v>45467</v>
      </c>
      <c r="D425" s="3" t="str">
        <f t="shared" si="4"/>
        <v>Completed</v>
      </c>
      <c r="E425" s="2">
        <f t="shared" si="5"/>
        <v>6</v>
      </c>
      <c r="F425" s="2" t="str">
        <f t="array" ref="F425">INDEX(lists!F:F,RANDBETWEEN(1,6))
</f>
        <v>Dining</v>
      </c>
      <c r="G425" s="2" t="str">
        <f t="array" ref="G425">IFS(
F425="Bedroom",INDEX(lists!G:G,RANDBETWEEN(1,4)),
F425="Living Room",INDEX(lists!H:H,RANDBETWEEN(1,4)),
F425="Dining",INDEX(lists!I:I,RANDBETWEEN(1,2)),
F425="Kitchen",INDEX(lists!J:J,RANDBETWEEN(1,4)),
F425="Office",INDEX(lists!K:K,RANDBETWEEN(1,3)),
F425="Household Essentials",INDEX(lists!L:L,RANDBETWEEN(1,3))
)
</f>
        <v>Dining Table</v>
      </c>
      <c r="H425" s="2">
        <f t="shared" si="6"/>
        <v>1</v>
      </c>
      <c r="I425" s="2">
        <f t="shared" si="7"/>
        <v>1</v>
      </c>
      <c r="J425" s="2" t="str">
        <f t="array" ref="J425">INDEX(lists!A:A,RANDBETWEEN(1,19))
</f>
        <v>Westbrook Housing</v>
      </c>
      <c r="K425" s="2" t="str">
        <f t="array" ref="K425">INDEX(lists!N:N,RANDBETWEEN(1,6))
</f>
        <v>Portland</v>
      </c>
      <c r="L425" s="2">
        <f t="shared" si="8"/>
        <v>3</v>
      </c>
      <c r="M425" s="2" t="str">
        <f t="array" ref="M425">INDEX(lists!O:O,RANDBETWEEN(1,2))
</f>
        <v>Pickup</v>
      </c>
      <c r="N425" s="2">
        <f t="shared" si="9"/>
        <v>6</v>
      </c>
    </row>
    <row r="426">
      <c r="A426" s="2">
        <f t="shared" si="1"/>
        <v>425</v>
      </c>
      <c r="B426" s="3">
        <f t="shared" si="2"/>
        <v>45645</v>
      </c>
      <c r="C426" s="3">
        <f t="shared" si="3"/>
        <v>45652</v>
      </c>
      <c r="D426" s="3" t="str">
        <f t="shared" si="4"/>
        <v>Completed</v>
      </c>
      <c r="E426" s="2">
        <f t="shared" si="5"/>
        <v>7</v>
      </c>
      <c r="F426" s="2" t="str">
        <f t="array" ref="F426">INDEX(lists!F:F,RANDBETWEEN(1,6))
</f>
        <v>Dining</v>
      </c>
      <c r="G426" s="2" t="str">
        <f t="array" ref="G426">IFS(
F426="Bedroom",INDEX(lists!G:G,RANDBETWEEN(1,4)),
F426="Living Room",INDEX(lists!H:H,RANDBETWEEN(1,4)),
F426="Dining",INDEX(lists!I:I,RANDBETWEEN(1,2)),
F426="Kitchen",INDEX(lists!J:J,RANDBETWEEN(1,4)),
F426="Office",INDEX(lists!K:K,RANDBETWEEN(1,3)),
F426="Household Essentials",INDEX(lists!L:L,RANDBETWEEN(1,3))
)
</f>
        <v>Dining Table</v>
      </c>
      <c r="H426" s="2">
        <f t="shared" si="6"/>
        <v>1</v>
      </c>
      <c r="I426" s="2">
        <f t="shared" si="7"/>
        <v>1</v>
      </c>
      <c r="J426" s="2" t="str">
        <f t="array" ref="J426">INDEX(lists!A:A,RANDBETWEEN(1,19))
</f>
        <v>Portland Harbor Group Raymond James</v>
      </c>
      <c r="K426" s="2" t="str">
        <f t="array" ref="K426">INDEX(lists!N:N,RANDBETWEEN(1,6))
</f>
        <v>Falmouth</v>
      </c>
      <c r="L426" s="2">
        <f t="shared" si="8"/>
        <v>4</v>
      </c>
      <c r="M426" s="2" t="str">
        <f t="array" ref="M426">INDEX(lists!O:O,RANDBETWEEN(1,2))
</f>
        <v>Pickup</v>
      </c>
      <c r="N426" s="2">
        <f t="shared" si="9"/>
        <v>1</v>
      </c>
    </row>
    <row r="427">
      <c r="A427" s="2">
        <f t="shared" si="1"/>
        <v>426</v>
      </c>
      <c r="B427" s="3">
        <f t="shared" si="2"/>
        <v>45561</v>
      </c>
      <c r="C427" s="3">
        <f t="shared" si="3"/>
        <v>45601</v>
      </c>
      <c r="D427" s="3" t="str">
        <f t="shared" si="4"/>
        <v>Completed</v>
      </c>
      <c r="E427" s="2">
        <f t="shared" si="5"/>
        <v>40</v>
      </c>
      <c r="F427" s="2" t="str">
        <f t="array" ref="F427">INDEX(lists!F:F,RANDBETWEEN(1,6))
</f>
        <v>Kitchen</v>
      </c>
      <c r="G427" s="2" t="str">
        <f t="array" ref="G427">IFS(
F427="Bedroom",INDEX(lists!G:G,RANDBETWEEN(1,4)),
F427="Living Room",INDEX(lists!H:H,RANDBETWEEN(1,4)),
F427="Dining",INDEX(lists!I:I,RANDBETWEEN(1,2)),
F427="Kitchen",INDEX(lists!J:J,RANDBETWEEN(1,4)),
F427="Office",INDEX(lists!K:K,RANDBETWEEN(1,3)),
F427="Household Essentials",INDEX(lists!L:L,RANDBETWEEN(1,3))
)
</f>
        <v>Dishes</v>
      </c>
      <c r="H427" s="2">
        <f t="shared" si="6"/>
        <v>2</v>
      </c>
      <c r="I427" s="2">
        <f t="shared" si="7"/>
        <v>1</v>
      </c>
      <c r="J427" s="2" t="str">
        <f t="array" ref="J427">INDEX(lists!A:A,RANDBETWEEN(1,19))
</f>
        <v>Coffee By Design</v>
      </c>
      <c r="K427" s="2" t="str">
        <f t="array" ref="K427">INDEX(lists!N:N,RANDBETWEEN(1,6))
</f>
        <v>Falmouth</v>
      </c>
      <c r="L427" s="2">
        <f t="shared" si="8"/>
        <v>6</v>
      </c>
      <c r="M427" s="2" t="str">
        <f t="array" ref="M427">INDEX(lists!O:O,RANDBETWEEN(1,2))
</f>
        <v>Pickup</v>
      </c>
      <c r="N427" s="2">
        <f t="shared" si="9"/>
        <v>5</v>
      </c>
    </row>
    <row r="428">
      <c r="A428" s="2">
        <f t="shared" si="1"/>
        <v>427</v>
      </c>
      <c r="B428" s="3">
        <f t="shared" si="2"/>
        <v>45331</v>
      </c>
      <c r="C428" s="3">
        <f t="shared" si="3"/>
        <v>45342</v>
      </c>
      <c r="D428" s="3" t="str">
        <f t="shared" si="4"/>
        <v>Completed</v>
      </c>
      <c r="E428" s="2">
        <f t="shared" si="5"/>
        <v>11</v>
      </c>
      <c r="F428" s="2" t="str">
        <f t="array" ref="F428">INDEX(lists!F:F,RANDBETWEEN(1,6))
</f>
        <v>Living Room</v>
      </c>
      <c r="G428" s="2" t="str">
        <f t="array" ref="G428">IFS(
F428="Bedroom",INDEX(lists!G:G,RANDBETWEEN(1,4)),
F428="Living Room",INDEX(lists!H:H,RANDBETWEEN(1,4)),
F428="Dining",INDEX(lists!I:I,RANDBETWEEN(1,2)),
F428="Kitchen",INDEX(lists!J:J,RANDBETWEEN(1,4)),
F428="Office",INDEX(lists!K:K,RANDBETWEEN(1,3)),
F428="Household Essentials",INDEX(lists!L:L,RANDBETWEEN(1,3))
)
</f>
        <v>Armchair</v>
      </c>
      <c r="H428" s="2">
        <f t="shared" si="6"/>
        <v>4</v>
      </c>
      <c r="I428" s="2">
        <f t="shared" si="7"/>
        <v>4</v>
      </c>
      <c r="J428" s="2" t="str">
        <f t="array" ref="J428">INDEX(lists!A:A,RANDBETWEEN(1,19))
</f>
        <v>Developers Collaborative</v>
      </c>
      <c r="K428" s="2" t="str">
        <f t="array" ref="K428">INDEX(lists!N:N,RANDBETWEEN(1,6))
</f>
        <v>Scarborough</v>
      </c>
      <c r="L428" s="2">
        <f t="shared" si="8"/>
        <v>2</v>
      </c>
      <c r="M428" s="2" t="str">
        <f t="array" ref="M428">INDEX(lists!O:O,RANDBETWEEN(1,2))
</f>
        <v>Delivery</v>
      </c>
      <c r="N428" s="2">
        <f t="shared" si="9"/>
        <v>4</v>
      </c>
    </row>
    <row r="429">
      <c r="A429" s="2">
        <f t="shared" si="1"/>
        <v>428</v>
      </c>
      <c r="B429" s="3">
        <f t="shared" si="2"/>
        <v>45544</v>
      </c>
      <c r="C429" s="3">
        <f t="shared" si="3"/>
        <v>45545</v>
      </c>
      <c r="D429" s="3" t="str">
        <f t="shared" si="4"/>
        <v>Completed</v>
      </c>
      <c r="E429" s="2">
        <f t="shared" si="5"/>
        <v>1</v>
      </c>
      <c r="F429" s="2" t="str">
        <f t="array" ref="F429">INDEX(lists!F:F,RANDBETWEEN(1,6))
</f>
        <v>Bedroom</v>
      </c>
      <c r="G429" s="2" t="str">
        <f t="array" ref="G429">IFS(
F429="Bedroom",INDEX(lists!G:G,RANDBETWEEN(1,4)),
F429="Living Room",INDEX(lists!H:H,RANDBETWEEN(1,4)),
F429="Dining",INDEX(lists!I:I,RANDBETWEEN(1,2)),
F429="Kitchen",INDEX(lists!J:J,RANDBETWEEN(1,4)),
F429="Office",INDEX(lists!K:K,RANDBETWEEN(1,3)),
F429="Household Essentials",INDEX(lists!L:L,RANDBETWEEN(1,3))
)
</f>
        <v>Nightstand</v>
      </c>
      <c r="H429" s="2">
        <f t="shared" si="6"/>
        <v>3</v>
      </c>
      <c r="I429" s="2">
        <f t="shared" si="7"/>
        <v>2</v>
      </c>
      <c r="J429" s="2" t="str">
        <f t="array" ref="J429">INDEX(lists!A:A,RANDBETWEEN(1,19))
</f>
        <v>Jordan's Furniture</v>
      </c>
      <c r="K429" s="2" t="str">
        <f t="array" ref="K429">INDEX(lists!N:N,RANDBETWEEN(1,6))
</f>
        <v>Scarborough</v>
      </c>
      <c r="L429" s="2">
        <f t="shared" si="8"/>
        <v>1</v>
      </c>
      <c r="M429" s="2" t="str">
        <f t="array" ref="M429">INDEX(lists!O:O,RANDBETWEEN(1,2))
</f>
        <v>Pickup</v>
      </c>
      <c r="N429" s="2">
        <f t="shared" si="9"/>
        <v>2</v>
      </c>
    </row>
    <row r="430">
      <c r="A430" s="2">
        <f t="shared" si="1"/>
        <v>429</v>
      </c>
      <c r="B430" s="3">
        <f t="shared" si="2"/>
        <v>45729</v>
      </c>
      <c r="C430" s="3">
        <f t="shared" si="3"/>
        <v>45736</v>
      </c>
      <c r="D430" s="3" t="str">
        <f t="shared" si="4"/>
        <v>Completed</v>
      </c>
      <c r="E430" s="2">
        <f t="shared" si="5"/>
        <v>7</v>
      </c>
      <c r="F430" s="2" t="str">
        <f t="array" ref="F430">INDEX(lists!F:F,RANDBETWEEN(1,6))
</f>
        <v>Bedroom</v>
      </c>
      <c r="G430" s="2" t="str">
        <f t="array" ref="G430">IFS(
F430="Bedroom",INDEX(lists!G:G,RANDBETWEEN(1,4)),
F430="Living Room",INDEX(lists!H:H,RANDBETWEEN(1,4)),
F430="Dining",INDEX(lists!I:I,RANDBETWEEN(1,2)),
F430="Kitchen",INDEX(lists!J:J,RANDBETWEEN(1,4)),
F430="Office",INDEX(lists!K:K,RANDBETWEEN(1,3)),
F430="Household Essentials",INDEX(lists!L:L,RANDBETWEEN(1,3))
)
</f>
        <v>Bed Frame</v>
      </c>
      <c r="H430" s="2">
        <f t="shared" si="6"/>
        <v>1</v>
      </c>
      <c r="I430" s="2">
        <f t="shared" si="7"/>
        <v>1</v>
      </c>
      <c r="J430" s="2" t="str">
        <f t="array" ref="J430">INDEX(lists!A:A,RANDBETWEEN(1,19))
</f>
        <v>Westbrook Housing</v>
      </c>
      <c r="K430" s="2" t="str">
        <f t="array" ref="K430">INDEX(lists!N:N,RANDBETWEEN(1,6))
</f>
        <v>South Portland</v>
      </c>
      <c r="L430" s="2">
        <f t="shared" si="8"/>
        <v>5</v>
      </c>
      <c r="M430" s="2" t="str">
        <f t="array" ref="M430">INDEX(lists!O:O,RANDBETWEEN(1,2))
</f>
        <v>Pickup</v>
      </c>
      <c r="N430" s="2">
        <f t="shared" si="9"/>
        <v>4</v>
      </c>
    </row>
    <row r="431">
      <c r="A431" s="2">
        <f t="shared" si="1"/>
        <v>430</v>
      </c>
      <c r="B431" s="3">
        <f t="shared" si="2"/>
        <v>45720</v>
      </c>
      <c r="C431" s="3">
        <f t="shared" si="3"/>
        <v>45733</v>
      </c>
      <c r="D431" s="3" t="str">
        <f t="shared" si="4"/>
        <v>Completed</v>
      </c>
      <c r="E431" s="2">
        <f t="shared" si="5"/>
        <v>13</v>
      </c>
      <c r="F431" s="2" t="str">
        <f t="array" ref="F431">INDEX(lists!F:F,RANDBETWEEN(1,6))
</f>
        <v>Kitchen</v>
      </c>
      <c r="G431" s="2" t="str">
        <f t="array" ref="G431">IFS(
F431="Bedroom",INDEX(lists!G:G,RANDBETWEEN(1,4)),
F431="Living Room",INDEX(lists!H:H,RANDBETWEEN(1,4)),
F431="Dining",INDEX(lists!I:I,RANDBETWEEN(1,2)),
F431="Kitchen",INDEX(lists!J:J,RANDBETWEEN(1,4)),
F431="Office",INDEX(lists!K:K,RANDBETWEEN(1,3)),
F431="Household Essentials",INDEX(lists!L:L,RANDBETWEEN(1,3))
)
</f>
        <v>Pots &amp; Pans</v>
      </c>
      <c r="H431" s="2">
        <f t="shared" si="6"/>
        <v>3</v>
      </c>
      <c r="I431" s="2">
        <f t="shared" si="7"/>
        <v>1</v>
      </c>
      <c r="J431" s="2" t="str">
        <f t="array" ref="J431">INDEX(lists!A:A,RANDBETWEEN(1,19))
</f>
        <v>Keybank</v>
      </c>
      <c r="K431" s="2" t="str">
        <f t="array" ref="K431">INDEX(lists!N:N,RANDBETWEEN(1,6))
</f>
        <v>Portland</v>
      </c>
      <c r="L431" s="2">
        <f t="shared" si="8"/>
        <v>6</v>
      </c>
      <c r="M431" s="2" t="str">
        <f t="array" ref="M431">INDEX(lists!O:O,RANDBETWEEN(1,2))
</f>
        <v>Pickup</v>
      </c>
      <c r="N431" s="2">
        <f t="shared" si="9"/>
        <v>5</v>
      </c>
    </row>
    <row r="432">
      <c r="A432" s="2">
        <f t="shared" si="1"/>
        <v>431</v>
      </c>
      <c r="B432" s="3">
        <f t="shared" si="2"/>
        <v>45515</v>
      </c>
      <c r="C432" s="3">
        <f t="shared" si="3"/>
        <v>45523</v>
      </c>
      <c r="D432" s="3" t="str">
        <f t="shared" si="4"/>
        <v>Completed</v>
      </c>
      <c r="E432" s="2">
        <f t="shared" si="5"/>
        <v>8</v>
      </c>
      <c r="F432" s="2" t="str">
        <f t="array" ref="F432">INDEX(lists!F:F,RANDBETWEEN(1,6))
</f>
        <v>Office</v>
      </c>
      <c r="G432" s="2" t="str">
        <f t="array" ref="G432">IFS(
F432="Bedroom",INDEX(lists!G:G,RANDBETWEEN(1,4)),
F432="Living Room",INDEX(lists!H:H,RANDBETWEEN(1,4)),
F432="Dining",INDEX(lists!I:I,RANDBETWEEN(1,2)),
F432="Kitchen",INDEX(lists!J:J,RANDBETWEEN(1,4)),
F432="Office",INDEX(lists!K:K,RANDBETWEEN(1,3)),
F432="Household Essentials",INDEX(lists!L:L,RANDBETWEEN(1,3))
)
</f>
        <v>Office Chair</v>
      </c>
      <c r="H432" s="2">
        <f t="shared" si="6"/>
        <v>3</v>
      </c>
      <c r="I432" s="2">
        <f t="shared" si="7"/>
        <v>2</v>
      </c>
      <c r="J432" s="2" t="str">
        <f t="array" ref="J432">INDEX(lists!A:A,RANDBETWEEN(1,19))
</f>
        <v>GoGo Refill</v>
      </c>
      <c r="K432" s="2" t="str">
        <f t="array" ref="K432">INDEX(lists!N:N,RANDBETWEEN(1,6))
</f>
        <v>Westbrook</v>
      </c>
      <c r="L432" s="2">
        <f t="shared" si="8"/>
        <v>4</v>
      </c>
      <c r="M432" s="2" t="str">
        <f t="array" ref="M432">INDEX(lists!O:O,RANDBETWEEN(1,2))
</f>
        <v>Delivery</v>
      </c>
      <c r="N432" s="2">
        <f t="shared" si="9"/>
        <v>1</v>
      </c>
    </row>
    <row r="433">
      <c r="A433" s="2">
        <f t="shared" si="1"/>
        <v>432</v>
      </c>
      <c r="B433" s="3">
        <f t="shared" si="2"/>
        <v>45362</v>
      </c>
      <c r="C433" s="3">
        <f t="shared" si="3"/>
        <v>45375</v>
      </c>
      <c r="D433" s="3" t="str">
        <f t="shared" si="4"/>
        <v>Completed</v>
      </c>
      <c r="E433" s="2">
        <f t="shared" si="5"/>
        <v>13</v>
      </c>
      <c r="F433" s="2" t="str">
        <f t="array" ref="F433">INDEX(lists!F:F,RANDBETWEEN(1,6))
</f>
        <v>Dining</v>
      </c>
      <c r="G433" s="2" t="str">
        <f t="array" ref="G433">IFS(
F433="Bedroom",INDEX(lists!G:G,RANDBETWEEN(1,4)),
F433="Living Room",INDEX(lists!H:H,RANDBETWEEN(1,4)),
F433="Dining",INDEX(lists!I:I,RANDBETWEEN(1,2)),
F433="Kitchen",INDEX(lists!J:J,RANDBETWEEN(1,4)),
F433="Office",INDEX(lists!K:K,RANDBETWEEN(1,3)),
F433="Household Essentials",INDEX(lists!L:L,RANDBETWEEN(1,3))
)
</f>
        <v>Dining Chair</v>
      </c>
      <c r="H433" s="2">
        <f t="shared" si="6"/>
        <v>4</v>
      </c>
      <c r="I433" s="2">
        <f t="shared" si="7"/>
        <v>3</v>
      </c>
      <c r="J433" s="2" t="str">
        <f t="array" ref="J433">INDEX(lists!A:A,RANDBETWEEN(1,19))
</f>
        <v>Center for Real Estate Studies</v>
      </c>
      <c r="K433" s="2" t="str">
        <f t="array" ref="K433">INDEX(lists!N:N,RANDBETWEEN(1,6))
</f>
        <v>South Portland</v>
      </c>
      <c r="L433" s="2">
        <f t="shared" si="8"/>
        <v>6</v>
      </c>
      <c r="M433" s="2" t="str">
        <f t="array" ref="M433">INDEX(lists!O:O,RANDBETWEEN(1,2))
</f>
        <v>Pickup</v>
      </c>
      <c r="N433" s="2">
        <f t="shared" si="9"/>
        <v>5</v>
      </c>
    </row>
    <row r="434">
      <c r="A434" s="2">
        <f t="shared" si="1"/>
        <v>433</v>
      </c>
      <c r="B434" s="3">
        <f t="shared" si="2"/>
        <v>45665</v>
      </c>
      <c r="C434" s="3">
        <f t="shared" si="3"/>
        <v>45668</v>
      </c>
      <c r="D434" s="3" t="str">
        <f t="shared" si="4"/>
        <v>Completed</v>
      </c>
      <c r="E434" s="2">
        <f t="shared" si="5"/>
        <v>3</v>
      </c>
      <c r="F434" s="2" t="str">
        <f t="array" ref="F434">INDEX(lists!F:F,RANDBETWEEN(1,6))
</f>
        <v>Office</v>
      </c>
      <c r="G434" s="2" t="str">
        <f t="array" ref="G434">IFS(
F434="Bedroom",INDEX(lists!G:G,RANDBETWEEN(1,4)),
F434="Living Room",INDEX(lists!H:H,RANDBETWEEN(1,4)),
F434="Dining",INDEX(lists!I:I,RANDBETWEEN(1,2)),
F434="Kitchen",INDEX(lists!J:J,RANDBETWEEN(1,4)),
F434="Office",INDEX(lists!K:K,RANDBETWEEN(1,3)),
F434="Household Essentials",INDEX(lists!L:L,RANDBETWEEN(1,3))
)
</f>
        <v>Desk</v>
      </c>
      <c r="H434" s="2">
        <f t="shared" si="6"/>
        <v>3</v>
      </c>
      <c r="I434" s="2">
        <f t="shared" si="7"/>
        <v>2</v>
      </c>
      <c r="J434" s="2" t="str">
        <f t="array" ref="J434">INDEX(lists!A:A,RANDBETWEEN(1,19))
</f>
        <v>Westbrook Housing</v>
      </c>
      <c r="K434" s="2" t="str">
        <f t="array" ref="K434">INDEX(lists!N:N,RANDBETWEEN(1,6))
</f>
        <v>Portland</v>
      </c>
      <c r="L434" s="2">
        <f t="shared" si="8"/>
        <v>1</v>
      </c>
      <c r="M434" s="2" t="str">
        <f t="array" ref="M434">INDEX(lists!O:O,RANDBETWEEN(1,2))
</f>
        <v>Pickup</v>
      </c>
      <c r="N434" s="2">
        <f t="shared" si="9"/>
        <v>6</v>
      </c>
    </row>
    <row r="435">
      <c r="A435" s="2">
        <f t="shared" si="1"/>
        <v>434</v>
      </c>
      <c r="B435" s="3">
        <f t="shared" si="2"/>
        <v>45351</v>
      </c>
      <c r="C435" s="3">
        <f t="shared" si="3"/>
        <v>45356</v>
      </c>
      <c r="D435" s="3" t="str">
        <f t="shared" si="4"/>
        <v>Completed</v>
      </c>
      <c r="E435" s="2">
        <f t="shared" si="5"/>
        <v>5</v>
      </c>
      <c r="F435" s="2" t="str">
        <f t="array" ref="F435">INDEX(lists!F:F,RANDBETWEEN(1,6))
</f>
        <v>Living Room</v>
      </c>
      <c r="G435" s="2" t="str">
        <f t="array" ref="G435">IFS(
F435="Bedroom",INDEX(lists!G:G,RANDBETWEEN(1,4)),
F435="Living Room",INDEX(lists!H:H,RANDBETWEEN(1,4)),
F435="Dining",INDEX(lists!I:I,RANDBETWEEN(1,2)),
F435="Kitchen",INDEX(lists!J:J,RANDBETWEEN(1,4)),
F435="Office",INDEX(lists!K:K,RANDBETWEEN(1,3)),
F435="Household Essentials",INDEX(lists!L:L,RANDBETWEEN(1,3))
)
</f>
        <v>TV Stand</v>
      </c>
      <c r="H435" s="2">
        <f t="shared" si="6"/>
        <v>1</v>
      </c>
      <c r="I435" s="2">
        <f t="shared" si="7"/>
        <v>1</v>
      </c>
      <c r="J435" s="2" t="str">
        <f t="array" ref="J435">INDEX(lists!A:A,RANDBETWEEN(1,19))
</f>
        <v>Keybank</v>
      </c>
      <c r="K435" s="2" t="str">
        <f t="array" ref="K435">INDEX(lists!N:N,RANDBETWEEN(1,6))
</f>
        <v>Falmouth</v>
      </c>
      <c r="L435" s="2">
        <f t="shared" si="8"/>
        <v>3</v>
      </c>
      <c r="M435" s="2" t="str">
        <f t="array" ref="M435">INDEX(lists!O:O,RANDBETWEEN(1,2))
</f>
        <v>Delivery</v>
      </c>
      <c r="N435" s="2">
        <f t="shared" si="9"/>
        <v>1</v>
      </c>
    </row>
    <row r="436">
      <c r="A436" s="2">
        <f t="shared" si="1"/>
        <v>435</v>
      </c>
      <c r="B436" s="3">
        <f t="shared" si="2"/>
        <v>45661</v>
      </c>
      <c r="C436" s="3">
        <f t="shared" si="3"/>
        <v>45668</v>
      </c>
      <c r="D436" s="3" t="str">
        <f t="shared" si="4"/>
        <v>Completed</v>
      </c>
      <c r="E436" s="2">
        <f t="shared" si="5"/>
        <v>7</v>
      </c>
      <c r="F436" s="2" t="str">
        <f t="array" ref="F436">INDEX(lists!F:F,RANDBETWEEN(1,6))
</f>
        <v>Bedroom</v>
      </c>
      <c r="G436" s="2" t="str">
        <f t="array" ref="G436">IFS(
F436="Bedroom",INDEX(lists!G:G,RANDBETWEEN(1,4)),
F436="Living Room",INDEX(lists!H:H,RANDBETWEEN(1,4)),
F436="Dining",INDEX(lists!I:I,RANDBETWEEN(1,2)),
F436="Kitchen",INDEX(lists!J:J,RANDBETWEEN(1,4)),
F436="Office",INDEX(lists!K:K,RANDBETWEEN(1,3)),
F436="Household Essentials",INDEX(lists!L:L,RANDBETWEEN(1,3))
)
</f>
        <v>Nightstand</v>
      </c>
      <c r="H436" s="2">
        <f t="shared" si="6"/>
        <v>2</v>
      </c>
      <c r="I436" s="2">
        <f t="shared" si="7"/>
        <v>2</v>
      </c>
      <c r="J436" s="2" t="str">
        <f t="array" ref="J436">INDEX(lists!A:A,RANDBETWEEN(1,19))
</f>
        <v>Diversified</v>
      </c>
      <c r="K436" s="2" t="str">
        <f t="array" ref="K436">INDEX(lists!N:N,RANDBETWEEN(1,6))
</f>
        <v>Biddeford</v>
      </c>
      <c r="L436" s="2">
        <f t="shared" si="8"/>
        <v>2</v>
      </c>
      <c r="M436" s="2" t="str">
        <f t="array" ref="M436">INDEX(lists!O:O,RANDBETWEEN(1,2))
</f>
        <v>Delivery</v>
      </c>
      <c r="N436" s="2">
        <f t="shared" si="9"/>
        <v>1</v>
      </c>
    </row>
    <row r="437">
      <c r="A437" s="2">
        <f t="shared" si="1"/>
        <v>436</v>
      </c>
      <c r="B437" s="3">
        <f t="shared" si="2"/>
        <v>45596</v>
      </c>
      <c r="C437" s="3" t="str">
        <f t="shared" si="3"/>
        <v/>
      </c>
      <c r="D437" s="3" t="str">
        <f t="shared" si="4"/>
        <v>Cancelled</v>
      </c>
      <c r="E437" s="2" t="str">
        <f t="shared" si="5"/>
        <v/>
      </c>
      <c r="F437" s="2" t="str">
        <f t="array" ref="F437">INDEX(lists!F:F,RANDBETWEEN(1,6))
</f>
        <v>Kitchen</v>
      </c>
      <c r="G437" s="2" t="str">
        <f t="array" ref="G437">IFS(
F437="Bedroom",INDEX(lists!G:G,RANDBETWEEN(1,4)),
F437="Living Room",INDEX(lists!H:H,RANDBETWEEN(1,4)),
F437="Dining",INDEX(lists!I:I,RANDBETWEEN(1,2)),
F437="Kitchen",INDEX(lists!J:J,RANDBETWEEN(1,4)),
F437="Office",INDEX(lists!K:K,RANDBETWEEN(1,3)),
F437="Household Essentials",INDEX(lists!L:L,RANDBETWEEN(1,3))
)
</f>
        <v>Pots &amp; Pans</v>
      </c>
      <c r="H437" s="2">
        <f t="shared" si="6"/>
        <v>3</v>
      </c>
      <c r="I437" s="2" t="str">
        <f t="shared" si="7"/>
        <v/>
      </c>
      <c r="J437" s="2" t="str">
        <f t="array" ref="J437">INDEX(lists!A:A,RANDBETWEEN(1,19))
</f>
        <v>Coffee By Design</v>
      </c>
      <c r="K437" s="2" t="str">
        <f t="array" ref="K437">INDEX(lists!N:N,RANDBETWEEN(1,6))
</f>
        <v>Portland</v>
      </c>
      <c r="L437" s="2">
        <f t="shared" si="8"/>
        <v>3</v>
      </c>
      <c r="M437" s="2" t="str">
        <f t="array" ref="M437">INDEX(lists!O:O,RANDBETWEEN(1,2))
</f>
        <v>Pickup</v>
      </c>
      <c r="N437" s="2">
        <f t="shared" si="9"/>
        <v>3</v>
      </c>
    </row>
    <row r="438">
      <c r="A438" s="2">
        <f t="shared" si="1"/>
        <v>437</v>
      </c>
      <c r="B438" s="3">
        <f t="shared" si="2"/>
        <v>45359</v>
      </c>
      <c r="C438" s="3">
        <f t="shared" si="3"/>
        <v>45368</v>
      </c>
      <c r="D438" s="3" t="str">
        <f t="shared" si="4"/>
        <v>Completed</v>
      </c>
      <c r="E438" s="2">
        <f t="shared" si="5"/>
        <v>9</v>
      </c>
      <c r="F438" s="2" t="str">
        <f t="array" ref="F438">INDEX(lists!F:F,RANDBETWEEN(1,6))
</f>
        <v>Bedroom</v>
      </c>
      <c r="G438" s="2" t="str">
        <f t="array" ref="G438">IFS(
F438="Bedroom",INDEX(lists!G:G,RANDBETWEEN(1,4)),
F438="Living Room",INDEX(lists!H:H,RANDBETWEEN(1,4)),
F438="Dining",INDEX(lists!I:I,RANDBETWEEN(1,2)),
F438="Kitchen",INDEX(lists!J:J,RANDBETWEEN(1,4)),
F438="Office",INDEX(lists!K:K,RANDBETWEEN(1,3)),
F438="Household Essentials",INDEX(lists!L:L,RANDBETWEEN(1,3))
)
</f>
        <v>Bed Frame</v>
      </c>
      <c r="H438" s="2">
        <f t="shared" si="6"/>
        <v>2</v>
      </c>
      <c r="I438" s="2">
        <f t="shared" si="7"/>
        <v>2</v>
      </c>
      <c r="J438" s="2" t="str">
        <f t="array" ref="J438">INDEX(lists!A:A,RANDBETWEEN(1,19))
</f>
        <v>Center for Real Estate Studies</v>
      </c>
      <c r="K438" s="2" t="str">
        <f t="array" ref="K438">INDEX(lists!N:N,RANDBETWEEN(1,6))
</f>
        <v>South Portland</v>
      </c>
      <c r="L438" s="2">
        <f t="shared" si="8"/>
        <v>6</v>
      </c>
      <c r="M438" s="2" t="str">
        <f t="array" ref="M438">INDEX(lists!O:O,RANDBETWEEN(1,2))
</f>
        <v>Delivery</v>
      </c>
      <c r="N438" s="2">
        <f t="shared" si="9"/>
        <v>1</v>
      </c>
    </row>
    <row r="439">
      <c r="A439" s="2">
        <f t="shared" si="1"/>
        <v>438</v>
      </c>
      <c r="B439" s="3">
        <f t="shared" si="2"/>
        <v>45392</v>
      </c>
      <c r="C439" s="3">
        <f t="shared" si="3"/>
        <v>45423</v>
      </c>
      <c r="D439" s="3" t="str">
        <f t="shared" si="4"/>
        <v>Completed</v>
      </c>
      <c r="E439" s="2">
        <f t="shared" si="5"/>
        <v>31</v>
      </c>
      <c r="F439" s="2" t="str">
        <f t="array" ref="F439">INDEX(lists!F:F,RANDBETWEEN(1,6))
</f>
        <v>Kitchen</v>
      </c>
      <c r="G439" s="2" t="str">
        <f t="array" ref="G439">IFS(
F439="Bedroom",INDEX(lists!G:G,RANDBETWEEN(1,4)),
F439="Living Room",INDEX(lists!H:H,RANDBETWEEN(1,4)),
F439="Dining",INDEX(lists!I:I,RANDBETWEEN(1,2)),
F439="Kitchen",INDEX(lists!J:J,RANDBETWEEN(1,4)),
F439="Office",INDEX(lists!K:K,RANDBETWEEN(1,3)),
F439="Household Essentials",INDEX(lists!L:L,RANDBETWEEN(1,3))
)
</f>
        <v>Microwave</v>
      </c>
      <c r="H439" s="2">
        <f t="shared" si="6"/>
        <v>2</v>
      </c>
      <c r="I439" s="2">
        <f t="shared" si="7"/>
        <v>1</v>
      </c>
      <c r="J439" s="2" t="str">
        <f t="array" ref="J439">INDEX(lists!A:A,RANDBETWEEN(1,19))
</f>
        <v>Saco &amp; Biddeford Savings</v>
      </c>
      <c r="K439" s="2" t="str">
        <f t="array" ref="K439">INDEX(lists!N:N,RANDBETWEEN(1,6))
</f>
        <v>South Portland</v>
      </c>
      <c r="L439" s="2">
        <f t="shared" si="8"/>
        <v>1</v>
      </c>
      <c r="M439" s="2" t="str">
        <f t="array" ref="M439">INDEX(lists!O:O,RANDBETWEEN(1,2))
</f>
        <v>Delivery</v>
      </c>
      <c r="N439" s="2">
        <f t="shared" si="9"/>
        <v>3</v>
      </c>
    </row>
    <row r="440">
      <c r="A440" s="2">
        <f t="shared" si="1"/>
        <v>439</v>
      </c>
      <c r="B440" s="3">
        <f t="shared" si="2"/>
        <v>45346</v>
      </c>
      <c r="C440" s="3">
        <f t="shared" si="3"/>
        <v>45356</v>
      </c>
      <c r="D440" s="3" t="str">
        <f t="shared" si="4"/>
        <v>Completed</v>
      </c>
      <c r="E440" s="2">
        <f t="shared" si="5"/>
        <v>10</v>
      </c>
      <c r="F440" s="2" t="str">
        <f t="array" ref="F440">INDEX(lists!F:F,RANDBETWEEN(1,6))
</f>
        <v>Living Room</v>
      </c>
      <c r="G440" s="2" t="str">
        <f t="array" ref="G440">IFS(
F440="Bedroom",INDEX(lists!G:G,RANDBETWEEN(1,4)),
F440="Living Room",INDEX(lists!H:H,RANDBETWEEN(1,4)),
F440="Dining",INDEX(lists!I:I,RANDBETWEEN(1,2)),
F440="Kitchen",INDEX(lists!J:J,RANDBETWEEN(1,4)),
F440="Office",INDEX(lists!K:K,RANDBETWEEN(1,3)),
F440="Household Essentials",INDEX(lists!L:L,RANDBETWEEN(1,3))
)
</f>
        <v>TV Stand</v>
      </c>
      <c r="H440" s="2">
        <f t="shared" si="6"/>
        <v>3</v>
      </c>
      <c r="I440" s="2">
        <f t="shared" si="7"/>
        <v>2</v>
      </c>
      <c r="J440" s="2" t="str">
        <f t="array" ref="J440">INDEX(lists!A:A,RANDBETWEEN(1,19))
</f>
        <v>J.B Brown and Sons</v>
      </c>
      <c r="K440" s="2" t="str">
        <f t="array" ref="K440">INDEX(lists!N:N,RANDBETWEEN(1,6))
</f>
        <v>Biddeford</v>
      </c>
      <c r="L440" s="2">
        <f t="shared" si="8"/>
        <v>6</v>
      </c>
      <c r="M440" s="2" t="str">
        <f t="array" ref="M440">INDEX(lists!O:O,RANDBETWEEN(1,2))
</f>
        <v>Pickup</v>
      </c>
      <c r="N440" s="2">
        <f t="shared" si="9"/>
        <v>1</v>
      </c>
    </row>
    <row r="441">
      <c r="A441" s="2">
        <f t="shared" si="1"/>
        <v>440</v>
      </c>
      <c r="B441" s="3">
        <f t="shared" si="2"/>
        <v>45490</v>
      </c>
      <c r="C441" s="3">
        <f t="shared" si="3"/>
        <v>45491</v>
      </c>
      <c r="D441" s="3" t="str">
        <f t="shared" si="4"/>
        <v>Completed</v>
      </c>
      <c r="E441" s="2">
        <f t="shared" si="5"/>
        <v>1</v>
      </c>
      <c r="F441" s="2" t="str">
        <f t="array" ref="F441">INDEX(lists!F:F,RANDBETWEEN(1,6))
</f>
        <v>Office</v>
      </c>
      <c r="G441" s="2" t="str">
        <f t="array" ref="G441">IFS(
F441="Bedroom",INDEX(lists!G:G,RANDBETWEEN(1,4)),
F441="Living Room",INDEX(lists!H:H,RANDBETWEEN(1,4)),
F441="Dining",INDEX(lists!I:I,RANDBETWEEN(1,2)),
F441="Kitchen",INDEX(lists!J:J,RANDBETWEEN(1,4)),
F441="Office",INDEX(lists!K:K,RANDBETWEEN(1,3)),
F441="Household Essentials",INDEX(lists!L:L,RANDBETWEEN(1,3))
)
</f>
        <v>Desk</v>
      </c>
      <c r="H441" s="2">
        <f t="shared" si="6"/>
        <v>1</v>
      </c>
      <c r="I441" s="2">
        <f t="shared" si="7"/>
        <v>1</v>
      </c>
      <c r="J441" s="2" t="str">
        <f t="array" ref="J441">INDEX(lists!A:A,RANDBETWEEN(1,19))
</f>
        <v>Portland Harbor Group Raymond James</v>
      </c>
      <c r="K441" s="2" t="str">
        <f t="array" ref="K441">INDEX(lists!N:N,RANDBETWEEN(1,6))
</f>
        <v>Westbrook</v>
      </c>
      <c r="L441" s="2">
        <f t="shared" si="8"/>
        <v>3</v>
      </c>
      <c r="M441" s="2" t="str">
        <f t="array" ref="M441">INDEX(lists!O:O,RANDBETWEEN(1,2))
</f>
        <v>Pickup</v>
      </c>
      <c r="N441" s="2">
        <f t="shared" si="9"/>
        <v>3</v>
      </c>
    </row>
    <row r="442">
      <c r="A442" s="2">
        <f t="shared" si="1"/>
        <v>441</v>
      </c>
      <c r="B442" s="3">
        <f t="shared" si="2"/>
        <v>45679</v>
      </c>
      <c r="C442" s="3">
        <f t="shared" si="3"/>
        <v>45693</v>
      </c>
      <c r="D442" s="3" t="str">
        <f t="shared" si="4"/>
        <v>Completed</v>
      </c>
      <c r="E442" s="2">
        <f t="shared" si="5"/>
        <v>14</v>
      </c>
      <c r="F442" s="2" t="str">
        <f t="array" ref="F442">INDEX(lists!F:F,RANDBETWEEN(1,6))
</f>
        <v>Bedroom</v>
      </c>
      <c r="G442" s="2" t="str">
        <f t="array" ref="G442">IFS(
F442="Bedroom",INDEX(lists!G:G,RANDBETWEEN(1,4)),
F442="Living Room",INDEX(lists!H:H,RANDBETWEEN(1,4)),
F442="Dining",INDEX(lists!I:I,RANDBETWEEN(1,2)),
F442="Kitchen",INDEX(lists!J:J,RANDBETWEEN(1,4)),
F442="Office",INDEX(lists!K:K,RANDBETWEEN(1,3)),
F442="Household Essentials",INDEX(lists!L:L,RANDBETWEEN(1,3))
)
</f>
        <v>Nightstand</v>
      </c>
      <c r="H442" s="2">
        <f t="shared" si="6"/>
        <v>4</v>
      </c>
      <c r="I442" s="2">
        <f t="shared" si="7"/>
        <v>2</v>
      </c>
      <c r="J442" s="2" t="str">
        <f t="array" ref="J442">INDEX(lists!A:A,RANDBETWEEN(1,19))
</f>
        <v>Shutterbugs 4 Charity</v>
      </c>
      <c r="K442" s="2" t="str">
        <f t="array" ref="K442">INDEX(lists!N:N,RANDBETWEEN(1,6))
</f>
        <v>Westbrook</v>
      </c>
      <c r="L442" s="2">
        <f t="shared" si="8"/>
        <v>1</v>
      </c>
      <c r="M442" s="2" t="str">
        <f t="array" ref="M442">INDEX(lists!O:O,RANDBETWEEN(1,2))
</f>
        <v>Pickup</v>
      </c>
      <c r="N442" s="2">
        <f t="shared" si="9"/>
        <v>1</v>
      </c>
    </row>
    <row r="443">
      <c r="A443" s="2">
        <f t="shared" si="1"/>
        <v>442</v>
      </c>
      <c r="B443" s="3">
        <f t="shared" si="2"/>
        <v>45461</v>
      </c>
      <c r="C443" s="3">
        <f t="shared" si="3"/>
        <v>45465</v>
      </c>
      <c r="D443" s="3" t="str">
        <f t="shared" si="4"/>
        <v>Completed</v>
      </c>
      <c r="E443" s="2">
        <f t="shared" si="5"/>
        <v>4</v>
      </c>
      <c r="F443" s="2" t="str">
        <f t="array" ref="F443">INDEX(lists!F:F,RANDBETWEEN(1,6))
</f>
        <v>Living Room</v>
      </c>
      <c r="G443" s="2" t="str">
        <f t="array" ref="G443">IFS(
F443="Bedroom",INDEX(lists!G:G,RANDBETWEEN(1,4)),
F443="Living Room",INDEX(lists!H:H,RANDBETWEEN(1,4)),
F443="Dining",INDEX(lists!I:I,RANDBETWEEN(1,2)),
F443="Kitchen",INDEX(lists!J:J,RANDBETWEEN(1,4)),
F443="Office",INDEX(lists!K:K,RANDBETWEEN(1,3)),
F443="Household Essentials",INDEX(lists!L:L,RANDBETWEEN(1,3))
)
</f>
        <v>Armchair</v>
      </c>
      <c r="H443" s="2">
        <f t="shared" si="6"/>
        <v>2</v>
      </c>
      <c r="I443" s="2">
        <f t="shared" si="7"/>
        <v>1</v>
      </c>
      <c r="J443" s="2" t="str">
        <f t="array" ref="J443">INDEX(lists!A:A,RANDBETWEEN(1,19))
</f>
        <v>Rowe Ford Westbrook</v>
      </c>
      <c r="K443" s="2" t="str">
        <f t="array" ref="K443">INDEX(lists!N:N,RANDBETWEEN(1,6))
</f>
        <v>Falmouth</v>
      </c>
      <c r="L443" s="2">
        <f t="shared" si="8"/>
        <v>3</v>
      </c>
      <c r="M443" s="2" t="str">
        <f t="array" ref="M443">INDEX(lists!O:O,RANDBETWEEN(1,2))
</f>
        <v>Delivery</v>
      </c>
      <c r="N443" s="2">
        <f t="shared" si="9"/>
        <v>5</v>
      </c>
    </row>
    <row r="444">
      <c r="A444" s="2">
        <f t="shared" si="1"/>
        <v>443</v>
      </c>
      <c r="B444" s="3">
        <f t="shared" si="2"/>
        <v>45579</v>
      </c>
      <c r="C444" s="3" t="str">
        <f t="shared" si="3"/>
        <v/>
      </c>
      <c r="D444" s="3" t="str">
        <f t="shared" si="4"/>
        <v>Cancelled</v>
      </c>
      <c r="E444" s="2" t="str">
        <f t="shared" si="5"/>
        <v/>
      </c>
      <c r="F444" s="2" t="str">
        <f t="array" ref="F444">INDEX(lists!F:F,RANDBETWEEN(1,6))
</f>
        <v>Bedroom</v>
      </c>
      <c r="G444" s="2" t="str">
        <f t="array" ref="G444">IFS(
F444="Bedroom",INDEX(lists!G:G,RANDBETWEEN(1,4)),
F444="Living Room",INDEX(lists!H:H,RANDBETWEEN(1,4)),
F444="Dining",INDEX(lists!I:I,RANDBETWEEN(1,2)),
F444="Kitchen",INDEX(lists!J:J,RANDBETWEEN(1,4)),
F444="Office",INDEX(lists!K:K,RANDBETWEEN(1,3)),
F444="Household Essentials",INDEX(lists!L:L,RANDBETWEEN(1,3))
)
</f>
        <v>Mattress</v>
      </c>
      <c r="H444" s="2">
        <f t="shared" si="6"/>
        <v>4</v>
      </c>
      <c r="I444" s="2" t="str">
        <f t="shared" si="7"/>
        <v/>
      </c>
      <c r="J444" s="2" t="str">
        <f t="array" ref="J444">INDEX(lists!A:A,RANDBETWEEN(1,19))
</f>
        <v>GoGo Refill</v>
      </c>
      <c r="K444" s="2" t="str">
        <f t="array" ref="K444">INDEX(lists!N:N,RANDBETWEEN(1,6))
</f>
        <v>Biddeford</v>
      </c>
      <c r="L444" s="2">
        <f t="shared" si="8"/>
        <v>1</v>
      </c>
      <c r="M444" s="2" t="str">
        <f t="array" ref="M444">INDEX(lists!O:O,RANDBETWEEN(1,2))
</f>
        <v>Delivery</v>
      </c>
      <c r="N444" s="2">
        <f t="shared" si="9"/>
        <v>1</v>
      </c>
    </row>
    <row r="445">
      <c r="A445" s="2">
        <f t="shared" si="1"/>
        <v>444</v>
      </c>
      <c r="B445" s="3">
        <f t="shared" si="2"/>
        <v>45343</v>
      </c>
      <c r="C445" s="3" t="str">
        <f t="shared" si="3"/>
        <v/>
      </c>
      <c r="D445" s="3" t="str">
        <f t="shared" si="4"/>
        <v>Pending</v>
      </c>
      <c r="E445" s="2" t="str">
        <f t="shared" si="5"/>
        <v/>
      </c>
      <c r="F445" s="2" t="str">
        <f t="array" ref="F445">INDEX(lists!F:F,RANDBETWEEN(1,6))
</f>
        <v>Office</v>
      </c>
      <c r="G445" s="2" t="str">
        <f t="array" ref="G445">IFS(
F445="Bedroom",INDEX(lists!G:G,RANDBETWEEN(1,4)),
F445="Living Room",INDEX(lists!H:H,RANDBETWEEN(1,4)),
F445="Dining",INDEX(lists!I:I,RANDBETWEEN(1,2)),
F445="Kitchen",INDEX(lists!J:J,RANDBETWEEN(1,4)),
F445="Office",INDEX(lists!K:K,RANDBETWEEN(1,3)),
F445="Household Essentials",INDEX(lists!L:L,RANDBETWEEN(1,3))
)
</f>
        <v>Office Chair</v>
      </c>
      <c r="H445" s="2">
        <f t="shared" si="6"/>
        <v>2</v>
      </c>
      <c r="I445" s="2" t="str">
        <f t="shared" si="7"/>
        <v/>
      </c>
      <c r="J445" s="2" t="str">
        <f t="array" ref="J445">INDEX(lists!A:A,RANDBETWEEN(1,19))
</f>
        <v>Westbrook Housing</v>
      </c>
      <c r="K445" s="2" t="str">
        <f t="array" ref="K445">INDEX(lists!N:N,RANDBETWEEN(1,6))
</f>
        <v>Westbrook</v>
      </c>
      <c r="L445" s="2">
        <f t="shared" si="8"/>
        <v>6</v>
      </c>
      <c r="M445" s="2" t="str">
        <f t="array" ref="M445">INDEX(lists!O:O,RANDBETWEEN(1,2))
</f>
        <v>Delivery</v>
      </c>
      <c r="N445" s="2">
        <f t="shared" si="9"/>
        <v>1</v>
      </c>
    </row>
    <row r="446">
      <c r="A446" s="2">
        <f t="shared" si="1"/>
        <v>445</v>
      </c>
      <c r="B446" s="3">
        <f t="shared" si="2"/>
        <v>45762</v>
      </c>
      <c r="C446" s="3">
        <f t="shared" si="3"/>
        <v>45770</v>
      </c>
      <c r="D446" s="3" t="str">
        <f t="shared" si="4"/>
        <v>Completed</v>
      </c>
      <c r="E446" s="2">
        <f t="shared" si="5"/>
        <v>8</v>
      </c>
      <c r="F446" s="2" t="str">
        <f t="array" ref="F446">INDEX(lists!F:F,RANDBETWEEN(1,6))
</f>
        <v>Dining</v>
      </c>
      <c r="G446" s="2" t="str">
        <f t="array" ref="G446">IFS(
F446="Bedroom",INDEX(lists!G:G,RANDBETWEEN(1,4)),
F446="Living Room",INDEX(lists!H:H,RANDBETWEEN(1,4)),
F446="Dining",INDEX(lists!I:I,RANDBETWEEN(1,2)),
F446="Kitchen",INDEX(lists!J:J,RANDBETWEEN(1,4)),
F446="Office",INDEX(lists!K:K,RANDBETWEEN(1,3)),
F446="Household Essentials",INDEX(lists!L:L,RANDBETWEEN(1,3))
)
</f>
        <v>Dining Chair</v>
      </c>
      <c r="H446" s="2">
        <f t="shared" si="6"/>
        <v>1</v>
      </c>
      <c r="I446" s="2">
        <f t="shared" si="7"/>
        <v>1</v>
      </c>
      <c r="J446" s="2" t="str">
        <f t="array" ref="J446">INDEX(lists!A:A,RANDBETWEEN(1,19))
</f>
        <v>Diversified</v>
      </c>
      <c r="K446" s="2" t="str">
        <f t="array" ref="K446">INDEX(lists!N:N,RANDBETWEEN(1,6))
</f>
        <v>Scarborough</v>
      </c>
      <c r="L446" s="2">
        <f t="shared" si="8"/>
        <v>6</v>
      </c>
      <c r="M446" s="2" t="str">
        <f t="array" ref="M446">INDEX(lists!O:O,RANDBETWEEN(1,2))
</f>
        <v>Pickup</v>
      </c>
      <c r="N446" s="2">
        <f t="shared" si="9"/>
        <v>4</v>
      </c>
    </row>
    <row r="447">
      <c r="A447" s="2">
        <f t="shared" si="1"/>
        <v>446</v>
      </c>
      <c r="B447" s="3">
        <f t="shared" si="2"/>
        <v>45806</v>
      </c>
      <c r="C447" s="3">
        <f t="shared" si="3"/>
        <v>45819</v>
      </c>
      <c r="D447" s="3" t="str">
        <f t="shared" si="4"/>
        <v>Completed</v>
      </c>
      <c r="E447" s="2">
        <f t="shared" si="5"/>
        <v>13</v>
      </c>
      <c r="F447" s="2" t="str">
        <f t="array" ref="F447">INDEX(lists!F:F,RANDBETWEEN(1,6))
</f>
        <v>Kitchen</v>
      </c>
      <c r="G447" s="2" t="str">
        <f t="array" ref="G447">IFS(
F447="Bedroom",INDEX(lists!G:G,RANDBETWEEN(1,4)),
F447="Living Room",INDEX(lists!H:H,RANDBETWEEN(1,4)),
F447="Dining",INDEX(lists!I:I,RANDBETWEEN(1,2)),
F447="Kitchen",INDEX(lists!J:J,RANDBETWEEN(1,4)),
F447="Office",INDEX(lists!K:K,RANDBETWEEN(1,3)),
F447="Household Essentials",INDEX(lists!L:L,RANDBETWEEN(1,3))
)
</f>
        <v>Small Appliances</v>
      </c>
      <c r="H447" s="2">
        <f t="shared" si="6"/>
        <v>4</v>
      </c>
      <c r="I447" s="2">
        <f t="shared" si="7"/>
        <v>3</v>
      </c>
      <c r="J447" s="2" t="str">
        <f t="array" ref="J447">INDEX(lists!A:A,RANDBETWEEN(1,19))
</f>
        <v>Portland Mattress Makers</v>
      </c>
      <c r="K447" s="2" t="str">
        <f t="array" ref="K447">INDEX(lists!N:N,RANDBETWEEN(1,6))
</f>
        <v>Biddeford</v>
      </c>
      <c r="L447" s="2">
        <f t="shared" si="8"/>
        <v>4</v>
      </c>
      <c r="M447" s="2" t="str">
        <f t="array" ref="M447">INDEX(lists!O:O,RANDBETWEEN(1,2))
</f>
        <v>Pickup</v>
      </c>
      <c r="N447" s="2">
        <f t="shared" si="9"/>
        <v>2</v>
      </c>
    </row>
    <row r="448">
      <c r="A448" s="2">
        <f t="shared" si="1"/>
        <v>447</v>
      </c>
      <c r="B448" s="3">
        <f t="shared" si="2"/>
        <v>45792</v>
      </c>
      <c r="C448" s="3">
        <f t="shared" si="3"/>
        <v>45796</v>
      </c>
      <c r="D448" s="3" t="str">
        <f t="shared" si="4"/>
        <v>Completed</v>
      </c>
      <c r="E448" s="2">
        <f t="shared" si="5"/>
        <v>4</v>
      </c>
      <c r="F448" s="2" t="str">
        <f t="array" ref="F448">INDEX(lists!F:F,RANDBETWEEN(1,6))
</f>
        <v>Office</v>
      </c>
      <c r="G448" s="2" t="str">
        <f t="array" ref="G448">IFS(
F448="Bedroom",INDEX(lists!G:G,RANDBETWEEN(1,4)),
F448="Living Room",INDEX(lists!H:H,RANDBETWEEN(1,4)),
F448="Dining",INDEX(lists!I:I,RANDBETWEEN(1,2)),
F448="Kitchen",INDEX(lists!J:J,RANDBETWEEN(1,4)),
F448="Office",INDEX(lists!K:K,RANDBETWEEN(1,3)),
F448="Household Essentials",INDEX(lists!L:L,RANDBETWEEN(1,3))
)
</f>
        <v>Bookshelf</v>
      </c>
      <c r="H448" s="2">
        <f t="shared" si="6"/>
        <v>4</v>
      </c>
      <c r="I448" s="2">
        <f t="shared" si="7"/>
        <v>1</v>
      </c>
      <c r="J448" s="2" t="str">
        <f t="array" ref="J448">INDEX(lists!A:A,RANDBETWEEN(1,19))
</f>
        <v>Systems Engineering</v>
      </c>
      <c r="K448" s="2" t="str">
        <f t="array" ref="K448">INDEX(lists!N:N,RANDBETWEEN(1,6))
</f>
        <v>Scarborough</v>
      </c>
      <c r="L448" s="2">
        <f t="shared" si="8"/>
        <v>6</v>
      </c>
      <c r="M448" s="2" t="str">
        <f t="array" ref="M448">INDEX(lists!O:O,RANDBETWEEN(1,2))
</f>
        <v>Pickup</v>
      </c>
      <c r="N448" s="2">
        <f t="shared" si="9"/>
        <v>4</v>
      </c>
    </row>
    <row r="449">
      <c r="A449" s="2">
        <f t="shared" si="1"/>
        <v>448</v>
      </c>
      <c r="B449" s="3">
        <f t="shared" si="2"/>
        <v>45740</v>
      </c>
      <c r="C449" s="3" t="str">
        <f t="shared" si="3"/>
        <v/>
      </c>
      <c r="D449" s="3" t="str">
        <f t="shared" si="4"/>
        <v>Cancelled</v>
      </c>
      <c r="E449" s="2" t="str">
        <f t="shared" si="5"/>
        <v/>
      </c>
      <c r="F449" s="2" t="str">
        <f t="array" ref="F449">INDEX(lists!F:F,RANDBETWEEN(1,6))
</f>
        <v>Kitchen</v>
      </c>
      <c r="G449" s="2" t="str">
        <f t="array" ref="G449">IFS(
F449="Bedroom",INDEX(lists!G:G,RANDBETWEEN(1,4)),
F449="Living Room",INDEX(lists!H:H,RANDBETWEEN(1,4)),
F449="Dining",INDEX(lists!I:I,RANDBETWEEN(1,2)),
F449="Kitchen",INDEX(lists!J:J,RANDBETWEEN(1,4)),
F449="Office",INDEX(lists!K:K,RANDBETWEEN(1,3)),
F449="Household Essentials",INDEX(lists!L:L,RANDBETWEEN(1,3))
)
</f>
        <v>Dishes</v>
      </c>
      <c r="H449" s="2">
        <f t="shared" si="6"/>
        <v>3</v>
      </c>
      <c r="I449" s="2" t="str">
        <f t="shared" si="7"/>
        <v/>
      </c>
      <c r="J449" s="2" t="str">
        <f t="array" ref="J449">INDEX(lists!A:A,RANDBETWEEN(1,19))
</f>
        <v>Shutterbugs 4 Charity</v>
      </c>
      <c r="K449" s="2" t="str">
        <f t="array" ref="K449">INDEX(lists!N:N,RANDBETWEEN(1,6))
</f>
        <v>Biddeford</v>
      </c>
      <c r="L449" s="2">
        <f t="shared" si="8"/>
        <v>3</v>
      </c>
      <c r="M449" s="2" t="str">
        <f t="array" ref="M449">INDEX(lists!O:O,RANDBETWEEN(1,2))
</f>
        <v>Delivery</v>
      </c>
      <c r="N449" s="2">
        <f t="shared" si="9"/>
        <v>1</v>
      </c>
    </row>
    <row r="450">
      <c r="A450" s="2">
        <f t="shared" si="1"/>
        <v>449</v>
      </c>
      <c r="B450" s="3">
        <f t="shared" si="2"/>
        <v>45704</v>
      </c>
      <c r="C450" s="3" t="str">
        <f t="shared" si="3"/>
        <v/>
      </c>
      <c r="D450" s="3" t="str">
        <f t="shared" si="4"/>
        <v>Cancelled</v>
      </c>
      <c r="E450" s="2" t="str">
        <f t="shared" si="5"/>
        <v/>
      </c>
      <c r="F450" s="2" t="str">
        <f t="array" ref="F450">INDEX(lists!F:F,RANDBETWEEN(1,6))
</f>
        <v>Living Room</v>
      </c>
      <c r="G450" s="2" t="str">
        <f t="array" ref="G450">IFS(
F450="Bedroom",INDEX(lists!G:G,RANDBETWEEN(1,4)),
F450="Living Room",INDEX(lists!H:H,RANDBETWEEN(1,4)),
F450="Dining",INDEX(lists!I:I,RANDBETWEEN(1,2)),
F450="Kitchen",INDEX(lists!J:J,RANDBETWEEN(1,4)),
F450="Office",INDEX(lists!K:K,RANDBETWEEN(1,3)),
F450="Household Essentials",INDEX(lists!L:L,RANDBETWEEN(1,3))
)
</f>
        <v>Armchair</v>
      </c>
      <c r="H450" s="2">
        <f t="shared" si="6"/>
        <v>3</v>
      </c>
      <c r="I450" s="2" t="str">
        <f t="shared" si="7"/>
        <v/>
      </c>
      <c r="J450" s="2" t="str">
        <f t="array" ref="J450">INDEX(lists!A:A,RANDBETWEEN(1,19))
</f>
        <v>Coffee By Design</v>
      </c>
      <c r="K450" s="2" t="str">
        <f t="array" ref="K450">INDEX(lists!N:N,RANDBETWEEN(1,6))
</f>
        <v>Portland</v>
      </c>
      <c r="L450" s="2">
        <f t="shared" si="8"/>
        <v>2</v>
      </c>
      <c r="M450" s="2" t="str">
        <f t="array" ref="M450">INDEX(lists!O:O,RANDBETWEEN(1,2))
</f>
        <v>Delivery</v>
      </c>
      <c r="N450" s="2">
        <f t="shared" si="9"/>
        <v>2</v>
      </c>
    </row>
    <row r="451">
      <c r="A451" s="2">
        <f t="shared" si="1"/>
        <v>450</v>
      </c>
      <c r="B451" s="3">
        <f t="shared" si="2"/>
        <v>45441</v>
      </c>
      <c r="C451" s="3">
        <f t="shared" si="3"/>
        <v>45467</v>
      </c>
      <c r="D451" s="3" t="str">
        <f t="shared" si="4"/>
        <v>Completed</v>
      </c>
      <c r="E451" s="2">
        <f t="shared" si="5"/>
        <v>26</v>
      </c>
      <c r="F451" s="2" t="str">
        <f t="array" ref="F451">INDEX(lists!F:F,RANDBETWEEN(1,6))
</f>
        <v>Living Room</v>
      </c>
      <c r="G451" s="2" t="str">
        <f t="array" ref="G451">IFS(
F451="Bedroom",INDEX(lists!G:G,RANDBETWEEN(1,4)),
F451="Living Room",INDEX(lists!H:H,RANDBETWEEN(1,4)),
F451="Dining",INDEX(lists!I:I,RANDBETWEEN(1,2)),
F451="Kitchen",INDEX(lists!J:J,RANDBETWEEN(1,4)),
F451="Office",INDEX(lists!K:K,RANDBETWEEN(1,3)),
F451="Household Essentials",INDEX(lists!L:L,RANDBETWEEN(1,3))
)
</f>
        <v>Armchair</v>
      </c>
      <c r="H451" s="2">
        <f t="shared" si="6"/>
        <v>3</v>
      </c>
      <c r="I451" s="2">
        <f t="shared" si="7"/>
        <v>2</v>
      </c>
      <c r="J451" s="2" t="str">
        <f t="array" ref="J451">INDEX(lists!A:A,RANDBETWEEN(1,19))
</f>
        <v>Portland Harbor Group Raymond James</v>
      </c>
      <c r="K451" s="2" t="str">
        <f t="array" ref="K451">INDEX(lists!N:N,RANDBETWEEN(1,6))
</f>
        <v>Scarborough</v>
      </c>
      <c r="L451" s="2">
        <f t="shared" si="8"/>
        <v>3</v>
      </c>
      <c r="M451" s="2" t="str">
        <f t="array" ref="M451">INDEX(lists!O:O,RANDBETWEEN(1,2))
</f>
        <v>Delivery</v>
      </c>
      <c r="N451" s="2">
        <f t="shared" si="9"/>
        <v>4</v>
      </c>
    </row>
    <row r="452">
      <c r="A452" s="2">
        <f t="shared" si="1"/>
        <v>451</v>
      </c>
      <c r="B452" s="3">
        <f t="shared" si="2"/>
        <v>45310</v>
      </c>
      <c r="C452" s="3">
        <f t="shared" si="3"/>
        <v>45323</v>
      </c>
      <c r="D452" s="3" t="str">
        <f t="shared" si="4"/>
        <v>Completed</v>
      </c>
      <c r="E452" s="2">
        <f t="shared" si="5"/>
        <v>13</v>
      </c>
      <c r="F452" s="2" t="str">
        <f t="array" ref="F452">INDEX(lists!F:F,RANDBETWEEN(1,6))
</f>
        <v>Living Room</v>
      </c>
      <c r="G452" s="2" t="str">
        <f t="array" ref="G452">IFS(
F452="Bedroom",INDEX(lists!G:G,RANDBETWEEN(1,4)),
F452="Living Room",INDEX(lists!H:H,RANDBETWEEN(1,4)),
F452="Dining",INDEX(lists!I:I,RANDBETWEEN(1,2)),
F452="Kitchen",INDEX(lists!J:J,RANDBETWEEN(1,4)),
F452="Office",INDEX(lists!K:K,RANDBETWEEN(1,3)),
F452="Household Essentials",INDEX(lists!L:L,RANDBETWEEN(1,3))
)
</f>
        <v>Sofa</v>
      </c>
      <c r="H452" s="2">
        <f t="shared" si="6"/>
        <v>2</v>
      </c>
      <c r="I452" s="2">
        <f t="shared" si="7"/>
        <v>2</v>
      </c>
      <c r="J452" s="2" t="str">
        <f t="array" ref="J452">INDEX(lists!A:A,RANDBETWEEN(1,19))
</f>
        <v>Jordan's Furniture</v>
      </c>
      <c r="K452" s="2" t="str">
        <f t="array" ref="K452">INDEX(lists!N:N,RANDBETWEEN(1,6))
</f>
        <v>Falmouth</v>
      </c>
      <c r="L452" s="2">
        <f t="shared" si="8"/>
        <v>5</v>
      </c>
      <c r="M452" s="2" t="str">
        <f t="array" ref="M452">INDEX(lists!O:O,RANDBETWEEN(1,2))
</f>
        <v>Delivery</v>
      </c>
      <c r="N452" s="2">
        <f t="shared" si="9"/>
        <v>2</v>
      </c>
    </row>
    <row r="453">
      <c r="A453" s="2">
        <f t="shared" si="1"/>
        <v>452</v>
      </c>
      <c r="B453" s="3">
        <f t="shared" si="2"/>
        <v>45724</v>
      </c>
      <c r="C453" s="3" t="str">
        <f t="shared" si="3"/>
        <v/>
      </c>
      <c r="D453" s="3" t="str">
        <f t="shared" si="4"/>
        <v>Pending</v>
      </c>
      <c r="E453" s="2" t="str">
        <f t="shared" si="5"/>
        <v/>
      </c>
      <c r="F453" s="2" t="str">
        <f t="array" ref="F453">INDEX(lists!F:F,RANDBETWEEN(1,6))
</f>
        <v>Bedroom</v>
      </c>
      <c r="G453" s="2" t="str">
        <f t="array" ref="G453">IFS(
F453="Bedroom",INDEX(lists!G:G,RANDBETWEEN(1,4)),
F453="Living Room",INDEX(lists!H:H,RANDBETWEEN(1,4)),
F453="Dining",INDEX(lists!I:I,RANDBETWEEN(1,2)),
F453="Kitchen",INDEX(lists!J:J,RANDBETWEEN(1,4)),
F453="Office",INDEX(lists!K:K,RANDBETWEEN(1,3)),
F453="Household Essentials",INDEX(lists!L:L,RANDBETWEEN(1,3))
)
</f>
        <v>Dresser</v>
      </c>
      <c r="H453" s="2">
        <f t="shared" si="6"/>
        <v>2</v>
      </c>
      <c r="I453" s="2" t="str">
        <f t="shared" si="7"/>
        <v/>
      </c>
      <c r="J453" s="2" t="str">
        <f t="array" ref="J453">INDEX(lists!A:A,RANDBETWEEN(1,19))
</f>
        <v>Center for Real Estate Studies</v>
      </c>
      <c r="K453" s="2" t="str">
        <f t="array" ref="K453">INDEX(lists!N:N,RANDBETWEEN(1,6))
</f>
        <v>Biddeford</v>
      </c>
      <c r="L453" s="2">
        <f t="shared" si="8"/>
        <v>5</v>
      </c>
      <c r="M453" s="2" t="str">
        <f t="array" ref="M453">INDEX(lists!O:O,RANDBETWEEN(1,2))
</f>
        <v>Pickup</v>
      </c>
      <c r="N453" s="2">
        <f t="shared" si="9"/>
        <v>6</v>
      </c>
    </row>
    <row r="454">
      <c r="A454" s="2">
        <f t="shared" si="1"/>
        <v>453</v>
      </c>
      <c r="B454" s="3">
        <f t="shared" si="2"/>
        <v>45797</v>
      </c>
      <c r="C454" s="3">
        <f t="shared" si="3"/>
        <v>45805</v>
      </c>
      <c r="D454" s="3" t="str">
        <f t="shared" si="4"/>
        <v>Completed</v>
      </c>
      <c r="E454" s="2">
        <f t="shared" si="5"/>
        <v>8</v>
      </c>
      <c r="F454" s="2" t="str">
        <f t="array" ref="F454">INDEX(lists!F:F,RANDBETWEEN(1,6))
</f>
        <v>Dining</v>
      </c>
      <c r="G454" s="2" t="str">
        <f t="array" ref="G454">IFS(
F454="Bedroom",INDEX(lists!G:G,RANDBETWEEN(1,4)),
F454="Living Room",INDEX(lists!H:H,RANDBETWEEN(1,4)),
F454="Dining",INDEX(lists!I:I,RANDBETWEEN(1,2)),
F454="Kitchen",INDEX(lists!J:J,RANDBETWEEN(1,4)),
F454="Office",INDEX(lists!K:K,RANDBETWEEN(1,3)),
F454="Household Essentials",INDEX(lists!L:L,RANDBETWEEN(1,3))
)
</f>
        <v>Dining Chair</v>
      </c>
      <c r="H454" s="2">
        <f t="shared" si="6"/>
        <v>1</v>
      </c>
      <c r="I454" s="2">
        <f t="shared" si="7"/>
        <v>1</v>
      </c>
      <c r="J454" s="2" t="str">
        <f t="array" ref="J454">INDEX(lists!A:A,RANDBETWEEN(1,19))
</f>
        <v>Jordan's Furniture</v>
      </c>
      <c r="K454" s="2" t="str">
        <f t="array" ref="K454">INDEX(lists!N:N,RANDBETWEEN(1,6))
</f>
        <v>Falmouth</v>
      </c>
      <c r="L454" s="2">
        <f t="shared" si="8"/>
        <v>3</v>
      </c>
      <c r="M454" s="2" t="str">
        <f t="array" ref="M454">INDEX(lists!O:O,RANDBETWEEN(1,2))
</f>
        <v>Delivery</v>
      </c>
      <c r="N454" s="2">
        <f t="shared" si="9"/>
        <v>4</v>
      </c>
    </row>
    <row r="455">
      <c r="A455" s="2">
        <f t="shared" si="1"/>
        <v>454</v>
      </c>
      <c r="B455" s="3">
        <f t="shared" si="2"/>
        <v>45735</v>
      </c>
      <c r="C455" s="3">
        <f t="shared" si="3"/>
        <v>45744</v>
      </c>
      <c r="D455" s="3" t="str">
        <f t="shared" si="4"/>
        <v>Completed</v>
      </c>
      <c r="E455" s="2">
        <f t="shared" si="5"/>
        <v>9</v>
      </c>
      <c r="F455" s="2" t="str">
        <f t="array" ref="F455">INDEX(lists!F:F,RANDBETWEEN(1,6))
</f>
        <v>Bedroom</v>
      </c>
      <c r="G455" s="2" t="str">
        <f t="array" ref="G455">IFS(
F455="Bedroom",INDEX(lists!G:G,RANDBETWEEN(1,4)),
F455="Living Room",INDEX(lists!H:H,RANDBETWEEN(1,4)),
F455="Dining",INDEX(lists!I:I,RANDBETWEEN(1,2)),
F455="Kitchen",INDEX(lists!J:J,RANDBETWEEN(1,4)),
F455="Office",INDEX(lists!K:K,RANDBETWEEN(1,3)),
F455="Household Essentials",INDEX(lists!L:L,RANDBETWEEN(1,3))
)
</f>
        <v>Bed Frame</v>
      </c>
      <c r="H455" s="2">
        <f t="shared" si="6"/>
        <v>2</v>
      </c>
      <c r="I455" s="2">
        <f t="shared" si="7"/>
        <v>2</v>
      </c>
      <c r="J455" s="2" t="str">
        <f t="array" ref="J455">INDEX(lists!A:A,RANDBETWEEN(1,19))
</f>
        <v>Portland Harbor Group Raymond James</v>
      </c>
      <c r="K455" s="2" t="str">
        <f t="array" ref="K455">INDEX(lists!N:N,RANDBETWEEN(1,6))
</f>
        <v>Portland</v>
      </c>
      <c r="L455" s="2">
        <f t="shared" si="8"/>
        <v>3</v>
      </c>
      <c r="M455" s="2" t="str">
        <f t="array" ref="M455">INDEX(lists!O:O,RANDBETWEEN(1,2))
</f>
        <v>Pickup</v>
      </c>
      <c r="N455" s="2">
        <f t="shared" si="9"/>
        <v>3</v>
      </c>
    </row>
    <row r="456">
      <c r="A456" s="2">
        <f t="shared" si="1"/>
        <v>455</v>
      </c>
      <c r="B456" s="3">
        <f t="shared" si="2"/>
        <v>45696</v>
      </c>
      <c r="C456" s="3">
        <f t="shared" si="3"/>
        <v>45708</v>
      </c>
      <c r="D456" s="3" t="str">
        <f t="shared" si="4"/>
        <v>Completed</v>
      </c>
      <c r="E456" s="2">
        <f t="shared" si="5"/>
        <v>12</v>
      </c>
      <c r="F456" s="2" t="str">
        <f t="array" ref="F456">INDEX(lists!F:F,RANDBETWEEN(1,6))
</f>
        <v>Living Room</v>
      </c>
      <c r="G456" s="2" t="str">
        <f t="array" ref="G456">IFS(
F456="Bedroom",INDEX(lists!G:G,RANDBETWEEN(1,4)),
F456="Living Room",INDEX(lists!H:H,RANDBETWEEN(1,4)),
F456="Dining",INDEX(lists!I:I,RANDBETWEEN(1,2)),
F456="Kitchen",INDEX(lists!J:J,RANDBETWEEN(1,4)),
F456="Office",INDEX(lists!K:K,RANDBETWEEN(1,3)),
F456="Household Essentials",INDEX(lists!L:L,RANDBETWEEN(1,3))
)
</f>
        <v>Sofa</v>
      </c>
      <c r="H456" s="2">
        <f t="shared" si="6"/>
        <v>3</v>
      </c>
      <c r="I456" s="2">
        <f t="shared" si="7"/>
        <v>1</v>
      </c>
      <c r="J456" s="2" t="str">
        <f t="array" ref="J456">INDEX(lists!A:A,RANDBETWEEN(1,19))
</f>
        <v>GoGo Refill</v>
      </c>
      <c r="K456" s="2" t="str">
        <f t="array" ref="K456">INDEX(lists!N:N,RANDBETWEEN(1,6))
</f>
        <v>Falmouth</v>
      </c>
      <c r="L456" s="2">
        <f t="shared" si="8"/>
        <v>5</v>
      </c>
      <c r="M456" s="2" t="str">
        <f t="array" ref="M456">INDEX(lists!O:O,RANDBETWEEN(1,2))
</f>
        <v>Delivery</v>
      </c>
      <c r="N456" s="2">
        <f t="shared" si="9"/>
        <v>1</v>
      </c>
    </row>
    <row r="457">
      <c r="A457" s="2">
        <f t="shared" si="1"/>
        <v>456</v>
      </c>
      <c r="B457" s="3">
        <f t="shared" si="2"/>
        <v>45797</v>
      </c>
      <c r="C457" s="3">
        <f t="shared" si="3"/>
        <v>45833</v>
      </c>
      <c r="D457" s="3" t="str">
        <f t="shared" si="4"/>
        <v>Completed</v>
      </c>
      <c r="E457" s="2">
        <f t="shared" si="5"/>
        <v>36</v>
      </c>
      <c r="F457" s="2" t="str">
        <f t="array" ref="F457">INDEX(lists!F:F,RANDBETWEEN(1,6))
</f>
        <v>Household Essentials</v>
      </c>
      <c r="G457" s="2" t="str">
        <f t="array" ref="G457">IFS(
F457="Bedroom",INDEX(lists!G:G,RANDBETWEEN(1,4)),
F457="Living Room",INDEX(lists!H:H,RANDBETWEEN(1,4)),
F457="Dining",INDEX(lists!I:I,RANDBETWEEN(1,2)),
F457="Kitchen",INDEX(lists!J:J,RANDBETWEEN(1,4)),
F457="Office",INDEX(lists!K:K,RANDBETWEEN(1,3)),
F457="Household Essentials",INDEX(lists!L:L,RANDBETWEEN(1,3))
)
</f>
        <v>Lamps</v>
      </c>
      <c r="H457" s="2">
        <f t="shared" si="6"/>
        <v>2</v>
      </c>
      <c r="I457" s="2">
        <f t="shared" si="7"/>
        <v>2</v>
      </c>
      <c r="J457" s="2" t="str">
        <f t="array" ref="J457">INDEX(lists!A:A,RANDBETWEEN(1,19))
</f>
        <v>Portland Mattress Makers</v>
      </c>
      <c r="K457" s="2" t="str">
        <f t="array" ref="K457">INDEX(lists!N:N,RANDBETWEEN(1,6))
</f>
        <v>Portland</v>
      </c>
      <c r="L457" s="2">
        <f t="shared" si="8"/>
        <v>4</v>
      </c>
      <c r="M457" s="2" t="str">
        <f t="array" ref="M457">INDEX(lists!O:O,RANDBETWEEN(1,2))
</f>
        <v>Delivery</v>
      </c>
      <c r="N457" s="2">
        <f t="shared" si="9"/>
        <v>6</v>
      </c>
    </row>
    <row r="458">
      <c r="A458" s="2">
        <f t="shared" si="1"/>
        <v>457</v>
      </c>
      <c r="B458" s="3">
        <f t="shared" si="2"/>
        <v>45506</v>
      </c>
      <c r="C458" s="3">
        <f t="shared" si="3"/>
        <v>45511</v>
      </c>
      <c r="D458" s="3" t="str">
        <f t="shared" si="4"/>
        <v>Completed</v>
      </c>
      <c r="E458" s="2">
        <f t="shared" si="5"/>
        <v>5</v>
      </c>
      <c r="F458" s="2" t="str">
        <f t="array" ref="F458">INDEX(lists!F:F,RANDBETWEEN(1,6))
</f>
        <v>Kitchen</v>
      </c>
      <c r="G458" s="2" t="str">
        <f t="array" ref="G458">IFS(
F458="Bedroom",INDEX(lists!G:G,RANDBETWEEN(1,4)),
F458="Living Room",INDEX(lists!H:H,RANDBETWEEN(1,4)),
F458="Dining",INDEX(lists!I:I,RANDBETWEEN(1,2)),
F458="Kitchen",INDEX(lists!J:J,RANDBETWEEN(1,4)),
F458="Office",INDEX(lists!K:K,RANDBETWEEN(1,3)),
F458="Household Essentials",INDEX(lists!L:L,RANDBETWEEN(1,3))
)
</f>
        <v>Dishes</v>
      </c>
      <c r="H458" s="2">
        <f t="shared" si="6"/>
        <v>3</v>
      </c>
      <c r="I458" s="2">
        <f t="shared" si="7"/>
        <v>1</v>
      </c>
      <c r="J458" s="2" t="str">
        <f t="array" ref="J458">INDEX(lists!A:A,RANDBETWEEN(1,19))
</f>
        <v>Maine Community Bank</v>
      </c>
      <c r="K458" s="2" t="str">
        <f t="array" ref="K458">INDEX(lists!N:N,RANDBETWEEN(1,6))
</f>
        <v>Portland</v>
      </c>
      <c r="L458" s="2">
        <f t="shared" si="8"/>
        <v>5</v>
      </c>
      <c r="M458" s="2" t="str">
        <f t="array" ref="M458">INDEX(lists!O:O,RANDBETWEEN(1,2))
</f>
        <v>Delivery</v>
      </c>
      <c r="N458" s="2">
        <f t="shared" si="9"/>
        <v>1</v>
      </c>
    </row>
    <row r="459">
      <c r="A459" s="2">
        <f t="shared" si="1"/>
        <v>458</v>
      </c>
      <c r="B459" s="3">
        <f t="shared" si="2"/>
        <v>45634</v>
      </c>
      <c r="C459" s="3">
        <f t="shared" si="3"/>
        <v>45635</v>
      </c>
      <c r="D459" s="3" t="str">
        <f t="shared" si="4"/>
        <v>Completed</v>
      </c>
      <c r="E459" s="2">
        <f t="shared" si="5"/>
        <v>1</v>
      </c>
      <c r="F459" s="2" t="str">
        <f t="array" ref="F459">INDEX(lists!F:F,RANDBETWEEN(1,6))
</f>
        <v>Kitchen</v>
      </c>
      <c r="G459" s="2" t="str">
        <f t="array" ref="G459">IFS(
F459="Bedroom",INDEX(lists!G:G,RANDBETWEEN(1,4)),
F459="Living Room",INDEX(lists!H:H,RANDBETWEEN(1,4)),
F459="Dining",INDEX(lists!I:I,RANDBETWEEN(1,2)),
F459="Kitchen",INDEX(lists!J:J,RANDBETWEEN(1,4)),
F459="Office",INDEX(lists!K:K,RANDBETWEEN(1,3)),
F459="Household Essentials",INDEX(lists!L:L,RANDBETWEEN(1,3))
)
</f>
        <v>Small Appliances</v>
      </c>
      <c r="H459" s="2">
        <f t="shared" si="6"/>
        <v>3</v>
      </c>
      <c r="I459" s="2">
        <f t="shared" si="7"/>
        <v>2</v>
      </c>
      <c r="J459" s="2" t="str">
        <f t="array" ref="J459">INDEX(lists!A:A,RANDBETWEEN(1,19))
</f>
        <v>Saco &amp; Biddeford Savings</v>
      </c>
      <c r="K459" s="2" t="str">
        <f t="array" ref="K459">INDEX(lists!N:N,RANDBETWEEN(1,6))
</f>
        <v>Falmouth</v>
      </c>
      <c r="L459" s="2">
        <f t="shared" si="8"/>
        <v>6</v>
      </c>
      <c r="M459" s="2" t="str">
        <f t="array" ref="M459">INDEX(lists!O:O,RANDBETWEEN(1,2))
</f>
        <v>Delivery</v>
      </c>
      <c r="N459" s="2">
        <f t="shared" si="9"/>
        <v>6</v>
      </c>
    </row>
    <row r="460">
      <c r="A460" s="2">
        <f t="shared" si="1"/>
        <v>459</v>
      </c>
      <c r="B460" s="3">
        <f t="shared" si="2"/>
        <v>45647</v>
      </c>
      <c r="C460" s="3">
        <f t="shared" si="3"/>
        <v>45654</v>
      </c>
      <c r="D460" s="3" t="str">
        <f t="shared" si="4"/>
        <v>Completed</v>
      </c>
      <c r="E460" s="2">
        <f t="shared" si="5"/>
        <v>7</v>
      </c>
      <c r="F460" s="2" t="str">
        <f t="array" ref="F460">INDEX(lists!F:F,RANDBETWEEN(1,6))
</f>
        <v>Bedroom</v>
      </c>
      <c r="G460" s="2" t="str">
        <f t="array" ref="G460">IFS(
F460="Bedroom",INDEX(lists!G:G,RANDBETWEEN(1,4)),
F460="Living Room",INDEX(lists!H:H,RANDBETWEEN(1,4)),
F460="Dining",INDEX(lists!I:I,RANDBETWEEN(1,2)),
F460="Kitchen",INDEX(lists!J:J,RANDBETWEEN(1,4)),
F460="Office",INDEX(lists!K:K,RANDBETWEEN(1,3)),
F460="Household Essentials",INDEX(lists!L:L,RANDBETWEEN(1,3))
)
</f>
        <v>Nightstand</v>
      </c>
      <c r="H460" s="2">
        <f t="shared" si="6"/>
        <v>3</v>
      </c>
      <c r="I460" s="2">
        <f t="shared" si="7"/>
        <v>3</v>
      </c>
      <c r="J460" s="2" t="str">
        <f t="array" ref="J460">INDEX(lists!A:A,RANDBETWEEN(1,19))
</f>
        <v>NewHeight Group</v>
      </c>
      <c r="K460" s="2" t="str">
        <f t="array" ref="K460">INDEX(lists!N:N,RANDBETWEEN(1,6))
</f>
        <v>Biddeford</v>
      </c>
      <c r="L460" s="2">
        <f t="shared" si="8"/>
        <v>6</v>
      </c>
      <c r="M460" s="2" t="str">
        <f t="array" ref="M460">INDEX(lists!O:O,RANDBETWEEN(1,2))
</f>
        <v>Pickup</v>
      </c>
      <c r="N460" s="2">
        <f t="shared" si="9"/>
        <v>4</v>
      </c>
    </row>
    <row r="461">
      <c r="A461" s="2">
        <f t="shared" si="1"/>
        <v>460</v>
      </c>
      <c r="B461" s="3">
        <f t="shared" si="2"/>
        <v>45444</v>
      </c>
      <c r="C461" s="3">
        <f t="shared" si="3"/>
        <v>45446</v>
      </c>
      <c r="D461" s="3" t="str">
        <f t="shared" si="4"/>
        <v>Completed</v>
      </c>
      <c r="E461" s="2">
        <f t="shared" si="5"/>
        <v>2</v>
      </c>
      <c r="F461" s="2" t="str">
        <f t="array" ref="F461">INDEX(lists!F:F,RANDBETWEEN(1,6))
</f>
        <v>Dining</v>
      </c>
      <c r="G461" s="2" t="str">
        <f t="array" ref="G461">IFS(
F461="Bedroom",INDEX(lists!G:G,RANDBETWEEN(1,4)),
F461="Living Room",INDEX(lists!H:H,RANDBETWEEN(1,4)),
F461="Dining",INDEX(lists!I:I,RANDBETWEEN(1,2)),
F461="Kitchen",INDEX(lists!J:J,RANDBETWEEN(1,4)),
F461="Office",INDEX(lists!K:K,RANDBETWEEN(1,3)),
F461="Household Essentials",INDEX(lists!L:L,RANDBETWEEN(1,3))
)
</f>
        <v>Dining Table</v>
      </c>
      <c r="H461" s="2">
        <f t="shared" si="6"/>
        <v>2</v>
      </c>
      <c r="I461" s="2">
        <f t="shared" si="7"/>
        <v>2</v>
      </c>
      <c r="J461" s="2" t="str">
        <f t="array" ref="J461">INDEX(lists!A:A,RANDBETWEEN(1,19))
</f>
        <v>Coffee By Design</v>
      </c>
      <c r="K461" s="2" t="str">
        <f t="array" ref="K461">INDEX(lists!N:N,RANDBETWEEN(1,6))
</f>
        <v>Westbrook</v>
      </c>
      <c r="L461" s="2">
        <f t="shared" si="8"/>
        <v>5</v>
      </c>
      <c r="M461" s="2" t="str">
        <f t="array" ref="M461">INDEX(lists!O:O,RANDBETWEEN(1,2))
</f>
        <v>Delivery</v>
      </c>
      <c r="N461" s="2">
        <f t="shared" si="9"/>
        <v>5</v>
      </c>
    </row>
    <row r="462">
      <c r="A462" s="2">
        <f t="shared" si="1"/>
        <v>461</v>
      </c>
      <c r="B462" s="3">
        <f t="shared" si="2"/>
        <v>45817</v>
      </c>
      <c r="C462" s="3">
        <f t="shared" si="3"/>
        <v>45826</v>
      </c>
      <c r="D462" s="3" t="str">
        <f t="shared" si="4"/>
        <v>Completed</v>
      </c>
      <c r="E462" s="2">
        <f t="shared" si="5"/>
        <v>9</v>
      </c>
      <c r="F462" s="2" t="str">
        <f t="array" ref="F462">INDEX(lists!F:F,RANDBETWEEN(1,6))
</f>
        <v>Kitchen</v>
      </c>
      <c r="G462" s="2" t="str">
        <f t="array" ref="G462">IFS(
F462="Bedroom",INDEX(lists!G:G,RANDBETWEEN(1,4)),
F462="Living Room",INDEX(lists!H:H,RANDBETWEEN(1,4)),
F462="Dining",INDEX(lists!I:I,RANDBETWEEN(1,2)),
F462="Kitchen",INDEX(lists!J:J,RANDBETWEEN(1,4)),
F462="Office",INDEX(lists!K:K,RANDBETWEEN(1,3)),
F462="Household Essentials",INDEX(lists!L:L,RANDBETWEEN(1,3))
)
</f>
        <v>Microwave</v>
      </c>
      <c r="H462" s="2">
        <f t="shared" si="6"/>
        <v>4</v>
      </c>
      <c r="I462" s="2">
        <f t="shared" si="7"/>
        <v>3</v>
      </c>
      <c r="J462" s="2" t="str">
        <f t="array" ref="J462">INDEX(lists!A:A,RANDBETWEEN(1,19))
</f>
        <v>J.B Brown and Sons</v>
      </c>
      <c r="K462" s="2" t="str">
        <f t="array" ref="K462">INDEX(lists!N:N,RANDBETWEEN(1,6))
</f>
        <v>Biddeford</v>
      </c>
      <c r="L462" s="2">
        <f t="shared" si="8"/>
        <v>5</v>
      </c>
      <c r="M462" s="2" t="str">
        <f t="array" ref="M462">INDEX(lists!O:O,RANDBETWEEN(1,2))
</f>
        <v>Delivery</v>
      </c>
      <c r="N462" s="2">
        <f t="shared" si="9"/>
        <v>1</v>
      </c>
    </row>
    <row r="463">
      <c r="A463" s="2">
        <f t="shared" si="1"/>
        <v>462</v>
      </c>
      <c r="B463" s="3">
        <f t="shared" si="2"/>
        <v>45564</v>
      </c>
      <c r="C463" s="3">
        <f t="shared" si="3"/>
        <v>45587</v>
      </c>
      <c r="D463" s="3" t="str">
        <f t="shared" si="4"/>
        <v>Completed</v>
      </c>
      <c r="E463" s="2">
        <f t="shared" si="5"/>
        <v>23</v>
      </c>
      <c r="F463" s="2" t="str">
        <f t="array" ref="F463">INDEX(lists!F:F,RANDBETWEEN(1,6))
</f>
        <v>Living Room</v>
      </c>
      <c r="G463" s="2" t="str">
        <f t="array" ref="G463">IFS(
F463="Bedroom",INDEX(lists!G:G,RANDBETWEEN(1,4)),
F463="Living Room",INDEX(lists!H:H,RANDBETWEEN(1,4)),
F463="Dining",INDEX(lists!I:I,RANDBETWEEN(1,2)),
F463="Kitchen",INDEX(lists!J:J,RANDBETWEEN(1,4)),
F463="Office",INDEX(lists!K:K,RANDBETWEEN(1,3)),
F463="Household Essentials",INDEX(lists!L:L,RANDBETWEEN(1,3))
)
</f>
        <v>Sofa</v>
      </c>
      <c r="H463" s="2">
        <f t="shared" si="6"/>
        <v>4</v>
      </c>
      <c r="I463" s="2">
        <f t="shared" si="7"/>
        <v>2</v>
      </c>
      <c r="J463" s="2" t="str">
        <f t="array" ref="J463">INDEX(lists!A:A,RANDBETWEEN(1,19))
</f>
        <v>Saco &amp; Biddeford Savings</v>
      </c>
      <c r="K463" s="2" t="str">
        <f t="array" ref="K463">INDEX(lists!N:N,RANDBETWEEN(1,6))
</f>
        <v>Scarborough</v>
      </c>
      <c r="L463" s="2">
        <f t="shared" si="8"/>
        <v>3</v>
      </c>
      <c r="M463" s="2" t="str">
        <f t="array" ref="M463">INDEX(lists!O:O,RANDBETWEEN(1,2))
</f>
        <v>Delivery</v>
      </c>
      <c r="N463" s="2">
        <f t="shared" si="9"/>
        <v>2</v>
      </c>
    </row>
    <row r="464">
      <c r="A464" s="2">
        <f t="shared" si="1"/>
        <v>463</v>
      </c>
      <c r="B464" s="3">
        <f t="shared" si="2"/>
        <v>45316</v>
      </c>
      <c r="C464" s="3">
        <f t="shared" si="3"/>
        <v>45327</v>
      </c>
      <c r="D464" s="3" t="str">
        <f t="shared" si="4"/>
        <v>Completed</v>
      </c>
      <c r="E464" s="2">
        <f t="shared" si="5"/>
        <v>11</v>
      </c>
      <c r="F464" s="2" t="str">
        <f t="array" ref="F464">INDEX(lists!F:F,RANDBETWEEN(1,6))
</f>
        <v>Living Room</v>
      </c>
      <c r="G464" s="2" t="str">
        <f t="array" ref="G464">IFS(
F464="Bedroom",INDEX(lists!G:G,RANDBETWEEN(1,4)),
F464="Living Room",INDEX(lists!H:H,RANDBETWEEN(1,4)),
F464="Dining",INDEX(lists!I:I,RANDBETWEEN(1,2)),
F464="Kitchen",INDEX(lists!J:J,RANDBETWEEN(1,4)),
F464="Office",INDEX(lists!K:K,RANDBETWEEN(1,3)),
F464="Household Essentials",INDEX(lists!L:L,RANDBETWEEN(1,3))
)
</f>
        <v>Coffee Table</v>
      </c>
      <c r="H464" s="2">
        <f t="shared" si="6"/>
        <v>2</v>
      </c>
      <c r="I464" s="2">
        <f t="shared" si="7"/>
        <v>1</v>
      </c>
      <c r="J464" s="2" t="str">
        <f t="array" ref="J464">INDEX(lists!A:A,RANDBETWEEN(1,19))
</f>
        <v>Spiritual Workers</v>
      </c>
      <c r="K464" s="2" t="str">
        <f t="array" ref="K464">INDEX(lists!N:N,RANDBETWEEN(1,6))
</f>
        <v>Falmouth</v>
      </c>
      <c r="L464" s="2">
        <f t="shared" si="8"/>
        <v>6</v>
      </c>
      <c r="M464" s="2" t="str">
        <f t="array" ref="M464">INDEX(lists!O:O,RANDBETWEEN(1,2))
</f>
        <v>Pickup</v>
      </c>
      <c r="N464" s="2">
        <f t="shared" si="9"/>
        <v>6</v>
      </c>
    </row>
    <row r="465">
      <c r="A465" s="2">
        <f t="shared" si="1"/>
        <v>464</v>
      </c>
      <c r="B465" s="3">
        <f t="shared" si="2"/>
        <v>45631</v>
      </c>
      <c r="C465" s="3">
        <f t="shared" si="3"/>
        <v>45635</v>
      </c>
      <c r="D465" s="3" t="str">
        <f t="shared" si="4"/>
        <v>Completed</v>
      </c>
      <c r="E465" s="2">
        <f t="shared" si="5"/>
        <v>4</v>
      </c>
      <c r="F465" s="2" t="str">
        <f t="array" ref="F465">INDEX(lists!F:F,RANDBETWEEN(1,6))
</f>
        <v>Household Essentials</v>
      </c>
      <c r="G465" s="2" t="str">
        <f t="array" ref="G465">IFS(
F465="Bedroom",INDEX(lists!G:G,RANDBETWEEN(1,4)),
F465="Living Room",INDEX(lists!H:H,RANDBETWEEN(1,4)),
F465="Dining",INDEX(lists!I:I,RANDBETWEEN(1,2)),
F465="Kitchen",INDEX(lists!J:J,RANDBETWEEN(1,4)),
F465="Office",INDEX(lists!K:K,RANDBETWEEN(1,3)),
F465="Household Essentials",INDEX(lists!L:L,RANDBETWEEN(1,3))
)
</f>
        <v>Bedding</v>
      </c>
      <c r="H465" s="2">
        <f t="shared" si="6"/>
        <v>1</v>
      </c>
      <c r="I465" s="2">
        <f t="shared" si="7"/>
        <v>1</v>
      </c>
      <c r="J465" s="2" t="str">
        <f t="array" ref="J465">INDEX(lists!A:A,RANDBETWEEN(1,19))
</f>
        <v>Keybank</v>
      </c>
      <c r="K465" s="2" t="str">
        <f t="array" ref="K465">INDEX(lists!N:N,RANDBETWEEN(1,6))
</f>
        <v>Falmouth</v>
      </c>
      <c r="L465" s="2">
        <f t="shared" si="8"/>
        <v>1</v>
      </c>
      <c r="M465" s="2" t="str">
        <f t="array" ref="M465">INDEX(lists!O:O,RANDBETWEEN(1,2))
</f>
        <v>Delivery</v>
      </c>
      <c r="N465" s="2">
        <f t="shared" si="9"/>
        <v>1</v>
      </c>
    </row>
    <row r="466">
      <c r="A466" s="2">
        <f t="shared" si="1"/>
        <v>465</v>
      </c>
      <c r="B466" s="3">
        <f t="shared" si="2"/>
        <v>45778</v>
      </c>
      <c r="C466" s="3">
        <f t="shared" si="3"/>
        <v>45787</v>
      </c>
      <c r="D466" s="3" t="str">
        <f t="shared" si="4"/>
        <v>Completed</v>
      </c>
      <c r="E466" s="2">
        <f t="shared" si="5"/>
        <v>9</v>
      </c>
      <c r="F466" s="2" t="str">
        <f t="array" ref="F466">INDEX(lists!F:F,RANDBETWEEN(1,6))
</f>
        <v>Office</v>
      </c>
      <c r="G466" s="2" t="str">
        <f t="array" ref="G466">IFS(
F466="Bedroom",INDEX(lists!G:G,RANDBETWEEN(1,4)),
F466="Living Room",INDEX(lists!H:H,RANDBETWEEN(1,4)),
F466="Dining",INDEX(lists!I:I,RANDBETWEEN(1,2)),
F466="Kitchen",INDEX(lists!J:J,RANDBETWEEN(1,4)),
F466="Office",INDEX(lists!K:K,RANDBETWEEN(1,3)),
F466="Household Essentials",INDEX(lists!L:L,RANDBETWEEN(1,3))
)
</f>
        <v>Office Chair</v>
      </c>
      <c r="H466" s="2">
        <f t="shared" si="6"/>
        <v>4</v>
      </c>
      <c r="I466" s="2">
        <f t="shared" si="7"/>
        <v>2</v>
      </c>
      <c r="J466" s="2" t="str">
        <f t="array" ref="J466">INDEX(lists!A:A,RANDBETWEEN(1,19))
</f>
        <v>Spiritual Workers</v>
      </c>
      <c r="K466" s="2" t="str">
        <f t="array" ref="K466">INDEX(lists!N:N,RANDBETWEEN(1,6))
</f>
        <v>Westbrook</v>
      </c>
      <c r="L466" s="2">
        <f t="shared" si="8"/>
        <v>2</v>
      </c>
      <c r="M466" s="2" t="str">
        <f t="array" ref="M466">INDEX(lists!O:O,RANDBETWEEN(1,2))
</f>
        <v>Delivery</v>
      </c>
      <c r="N466" s="2">
        <f t="shared" si="9"/>
        <v>4</v>
      </c>
    </row>
    <row r="467">
      <c r="A467" s="2">
        <f t="shared" si="1"/>
        <v>466</v>
      </c>
      <c r="B467" s="3">
        <f t="shared" si="2"/>
        <v>45638</v>
      </c>
      <c r="C467" s="3" t="str">
        <f t="shared" si="3"/>
        <v/>
      </c>
      <c r="D467" s="3" t="str">
        <f t="shared" si="4"/>
        <v>Cancelled</v>
      </c>
      <c r="E467" s="2" t="str">
        <f t="shared" si="5"/>
        <v/>
      </c>
      <c r="F467" s="2" t="str">
        <f t="array" ref="F467">INDEX(lists!F:F,RANDBETWEEN(1,6))
</f>
        <v>Household Essentials</v>
      </c>
      <c r="G467" s="2" t="str">
        <f t="array" ref="G467">IFS(
F467="Bedroom",INDEX(lists!G:G,RANDBETWEEN(1,4)),
F467="Living Room",INDEX(lists!H:H,RANDBETWEEN(1,4)),
F467="Dining",INDEX(lists!I:I,RANDBETWEEN(1,2)),
F467="Kitchen",INDEX(lists!J:J,RANDBETWEEN(1,4)),
F467="Office",INDEX(lists!K:K,RANDBETWEEN(1,3)),
F467="Household Essentials",INDEX(lists!L:L,RANDBETWEEN(1,3))
)
</f>
        <v>Rugs</v>
      </c>
      <c r="H467" s="2">
        <f t="shared" si="6"/>
        <v>4</v>
      </c>
      <c r="I467" s="2" t="str">
        <f t="shared" si="7"/>
        <v/>
      </c>
      <c r="J467" s="2" t="str">
        <f t="array" ref="J467">INDEX(lists!A:A,RANDBETWEEN(1,19))
</f>
        <v>Systems Engineering</v>
      </c>
      <c r="K467" s="2" t="str">
        <f t="array" ref="K467">INDEX(lists!N:N,RANDBETWEEN(1,6))
</f>
        <v>Westbrook</v>
      </c>
      <c r="L467" s="2">
        <f t="shared" si="8"/>
        <v>5</v>
      </c>
      <c r="M467" s="2" t="str">
        <f t="array" ref="M467">INDEX(lists!O:O,RANDBETWEEN(1,2))
</f>
        <v>Delivery</v>
      </c>
      <c r="N467" s="2">
        <f t="shared" si="9"/>
        <v>4</v>
      </c>
    </row>
    <row r="468">
      <c r="A468" s="2">
        <f t="shared" si="1"/>
        <v>467</v>
      </c>
      <c r="B468" s="3">
        <f t="shared" si="2"/>
        <v>45744</v>
      </c>
      <c r="C468" s="3">
        <f t="shared" si="3"/>
        <v>45745</v>
      </c>
      <c r="D468" s="3" t="str">
        <f t="shared" si="4"/>
        <v>Completed</v>
      </c>
      <c r="E468" s="2">
        <f t="shared" si="5"/>
        <v>1</v>
      </c>
      <c r="F468" s="2" t="str">
        <f t="array" ref="F468">INDEX(lists!F:F,RANDBETWEEN(1,6))
</f>
        <v>Living Room</v>
      </c>
      <c r="G468" s="2" t="str">
        <f t="array" ref="G468">IFS(
F468="Bedroom",INDEX(lists!G:G,RANDBETWEEN(1,4)),
F468="Living Room",INDEX(lists!H:H,RANDBETWEEN(1,4)),
F468="Dining",INDEX(lists!I:I,RANDBETWEEN(1,2)),
F468="Kitchen",INDEX(lists!J:J,RANDBETWEEN(1,4)),
F468="Office",INDEX(lists!K:K,RANDBETWEEN(1,3)),
F468="Household Essentials",INDEX(lists!L:L,RANDBETWEEN(1,3))
)
</f>
        <v>TV Stand</v>
      </c>
      <c r="H468" s="2">
        <f t="shared" si="6"/>
        <v>2</v>
      </c>
      <c r="I468" s="2">
        <f t="shared" si="7"/>
        <v>1</v>
      </c>
      <c r="J468" s="2" t="str">
        <f t="array" ref="J468">INDEX(lists!A:A,RANDBETWEEN(1,19))
</f>
        <v>Systems Engineering</v>
      </c>
      <c r="K468" s="2" t="str">
        <f t="array" ref="K468">INDEX(lists!N:N,RANDBETWEEN(1,6))
</f>
        <v>Scarborough</v>
      </c>
      <c r="L468" s="2">
        <f t="shared" si="8"/>
        <v>5</v>
      </c>
      <c r="M468" s="2" t="str">
        <f t="array" ref="M468">INDEX(lists!O:O,RANDBETWEEN(1,2))
</f>
        <v>Delivery</v>
      </c>
      <c r="N468" s="2">
        <f t="shared" si="9"/>
        <v>1</v>
      </c>
    </row>
    <row r="469">
      <c r="A469" s="2">
        <f t="shared" si="1"/>
        <v>468</v>
      </c>
      <c r="B469" s="3">
        <f t="shared" si="2"/>
        <v>45438</v>
      </c>
      <c r="C469" s="3">
        <f t="shared" si="3"/>
        <v>45470</v>
      </c>
      <c r="D469" s="3" t="str">
        <f t="shared" si="4"/>
        <v>Completed</v>
      </c>
      <c r="E469" s="2">
        <f t="shared" si="5"/>
        <v>32</v>
      </c>
      <c r="F469" s="2" t="str">
        <f t="array" ref="F469">INDEX(lists!F:F,RANDBETWEEN(1,6))
</f>
        <v>Living Room</v>
      </c>
      <c r="G469" s="2" t="str">
        <f t="array" ref="G469">IFS(
F469="Bedroom",INDEX(lists!G:G,RANDBETWEEN(1,4)),
F469="Living Room",INDEX(lists!H:H,RANDBETWEEN(1,4)),
F469="Dining",INDEX(lists!I:I,RANDBETWEEN(1,2)),
F469="Kitchen",INDEX(lists!J:J,RANDBETWEEN(1,4)),
F469="Office",INDEX(lists!K:K,RANDBETWEEN(1,3)),
F469="Household Essentials",INDEX(lists!L:L,RANDBETWEEN(1,3))
)
</f>
        <v>Coffee Table</v>
      </c>
      <c r="H469" s="2">
        <f t="shared" si="6"/>
        <v>2</v>
      </c>
      <c r="I469" s="2">
        <f t="shared" si="7"/>
        <v>2</v>
      </c>
      <c r="J469" s="2" t="str">
        <f t="array" ref="J469">INDEX(lists!A:A,RANDBETWEEN(1,19))
</f>
        <v>Jordan's Furniture</v>
      </c>
      <c r="K469" s="2" t="str">
        <f t="array" ref="K469">INDEX(lists!N:N,RANDBETWEEN(1,6))
</f>
        <v>Falmouth</v>
      </c>
      <c r="L469" s="2">
        <f t="shared" si="8"/>
        <v>1</v>
      </c>
      <c r="M469" s="2" t="str">
        <f t="array" ref="M469">INDEX(lists!O:O,RANDBETWEEN(1,2))
</f>
        <v>Pickup</v>
      </c>
      <c r="N469" s="2">
        <f t="shared" si="9"/>
        <v>6</v>
      </c>
    </row>
    <row r="470">
      <c r="A470" s="2">
        <f t="shared" si="1"/>
        <v>469</v>
      </c>
      <c r="B470" s="3">
        <f t="shared" si="2"/>
        <v>45655</v>
      </c>
      <c r="C470" s="3">
        <f t="shared" si="3"/>
        <v>45659</v>
      </c>
      <c r="D470" s="3" t="str">
        <f t="shared" si="4"/>
        <v>Completed</v>
      </c>
      <c r="E470" s="2">
        <f t="shared" si="5"/>
        <v>4</v>
      </c>
      <c r="F470" s="2" t="str">
        <f t="array" ref="F470">INDEX(lists!F:F,RANDBETWEEN(1,6))
</f>
        <v>Household Essentials</v>
      </c>
      <c r="G470" s="2" t="str">
        <f t="array" ref="G470">IFS(
F470="Bedroom",INDEX(lists!G:G,RANDBETWEEN(1,4)),
F470="Living Room",INDEX(lists!H:H,RANDBETWEEN(1,4)),
F470="Dining",INDEX(lists!I:I,RANDBETWEEN(1,2)),
F470="Kitchen",INDEX(lists!J:J,RANDBETWEEN(1,4)),
F470="Office",INDEX(lists!K:K,RANDBETWEEN(1,3)),
F470="Household Essentials",INDEX(lists!L:L,RANDBETWEEN(1,3))
)
</f>
        <v>Lamps</v>
      </c>
      <c r="H470" s="2">
        <f t="shared" si="6"/>
        <v>4</v>
      </c>
      <c r="I470" s="2">
        <f t="shared" si="7"/>
        <v>1</v>
      </c>
      <c r="J470" s="2" t="str">
        <f t="array" ref="J470">INDEX(lists!A:A,RANDBETWEEN(1,19))
</f>
        <v>Jordan's Furniture</v>
      </c>
      <c r="K470" s="2" t="str">
        <f t="array" ref="K470">INDEX(lists!N:N,RANDBETWEEN(1,6))
</f>
        <v>Biddeford</v>
      </c>
      <c r="L470" s="2">
        <f t="shared" si="8"/>
        <v>6</v>
      </c>
      <c r="M470" s="2" t="str">
        <f t="array" ref="M470">INDEX(lists!O:O,RANDBETWEEN(1,2))
</f>
        <v>Delivery</v>
      </c>
      <c r="N470" s="2">
        <f t="shared" si="9"/>
        <v>6</v>
      </c>
    </row>
    <row r="471">
      <c r="A471" s="2">
        <f t="shared" si="1"/>
        <v>470</v>
      </c>
      <c r="B471" s="3">
        <f t="shared" si="2"/>
        <v>45789</v>
      </c>
      <c r="C471" s="3">
        <f t="shared" si="3"/>
        <v>45797</v>
      </c>
      <c r="D471" s="3" t="str">
        <f t="shared" si="4"/>
        <v>Completed</v>
      </c>
      <c r="E471" s="2">
        <f t="shared" si="5"/>
        <v>8</v>
      </c>
      <c r="F471" s="2" t="str">
        <f t="array" ref="F471">INDEX(lists!F:F,RANDBETWEEN(1,6))
</f>
        <v>Office</v>
      </c>
      <c r="G471" s="2" t="str">
        <f t="array" ref="G471">IFS(
F471="Bedroom",INDEX(lists!G:G,RANDBETWEEN(1,4)),
F471="Living Room",INDEX(lists!H:H,RANDBETWEEN(1,4)),
F471="Dining",INDEX(lists!I:I,RANDBETWEEN(1,2)),
F471="Kitchen",INDEX(lists!J:J,RANDBETWEEN(1,4)),
F471="Office",INDEX(lists!K:K,RANDBETWEEN(1,3)),
F471="Household Essentials",INDEX(lists!L:L,RANDBETWEEN(1,3))
)
</f>
        <v>Office Chair</v>
      </c>
      <c r="H471" s="2">
        <f t="shared" si="6"/>
        <v>3</v>
      </c>
      <c r="I471" s="2">
        <f t="shared" si="7"/>
        <v>3</v>
      </c>
      <c r="J471" s="2" t="str">
        <f t="array" ref="J471">INDEX(lists!A:A,RANDBETWEEN(1,19))
</f>
        <v>GoGo Refill</v>
      </c>
      <c r="K471" s="2" t="str">
        <f t="array" ref="K471">INDEX(lists!N:N,RANDBETWEEN(1,6))
</f>
        <v>Portland</v>
      </c>
      <c r="L471" s="2">
        <f t="shared" si="8"/>
        <v>6</v>
      </c>
      <c r="M471" s="2" t="str">
        <f t="array" ref="M471">INDEX(lists!O:O,RANDBETWEEN(1,2))
</f>
        <v>Pickup</v>
      </c>
      <c r="N471" s="2">
        <f t="shared" si="9"/>
        <v>2</v>
      </c>
    </row>
    <row r="472">
      <c r="A472" s="2">
        <f t="shared" si="1"/>
        <v>471</v>
      </c>
      <c r="B472" s="3">
        <f t="shared" si="2"/>
        <v>45669</v>
      </c>
      <c r="C472" s="3">
        <f t="shared" si="3"/>
        <v>45683</v>
      </c>
      <c r="D472" s="3" t="str">
        <f t="shared" si="4"/>
        <v>Completed</v>
      </c>
      <c r="E472" s="2">
        <f t="shared" si="5"/>
        <v>14</v>
      </c>
      <c r="F472" s="2" t="str">
        <f t="array" ref="F472">INDEX(lists!F:F,RANDBETWEEN(1,6))
</f>
        <v>Living Room</v>
      </c>
      <c r="G472" s="2" t="str">
        <f t="array" ref="G472">IFS(
F472="Bedroom",INDEX(lists!G:G,RANDBETWEEN(1,4)),
F472="Living Room",INDEX(lists!H:H,RANDBETWEEN(1,4)),
F472="Dining",INDEX(lists!I:I,RANDBETWEEN(1,2)),
F472="Kitchen",INDEX(lists!J:J,RANDBETWEEN(1,4)),
F472="Office",INDEX(lists!K:K,RANDBETWEEN(1,3)),
F472="Household Essentials",INDEX(lists!L:L,RANDBETWEEN(1,3))
)
</f>
        <v>Sofa</v>
      </c>
      <c r="H472" s="2">
        <f t="shared" si="6"/>
        <v>2</v>
      </c>
      <c r="I472" s="2">
        <f t="shared" si="7"/>
        <v>1</v>
      </c>
      <c r="J472" s="2" t="str">
        <f t="array" ref="J472">INDEX(lists!A:A,RANDBETWEEN(1,19))
</f>
        <v>Coffee By Design</v>
      </c>
      <c r="K472" s="2" t="str">
        <f t="array" ref="K472">INDEX(lists!N:N,RANDBETWEEN(1,6))
</f>
        <v>Westbrook</v>
      </c>
      <c r="L472" s="2">
        <f t="shared" si="8"/>
        <v>6</v>
      </c>
      <c r="M472" s="2" t="str">
        <f t="array" ref="M472">INDEX(lists!O:O,RANDBETWEEN(1,2))
</f>
        <v>Delivery</v>
      </c>
      <c r="N472" s="2">
        <f t="shared" si="9"/>
        <v>5</v>
      </c>
    </row>
    <row r="473">
      <c r="A473" s="2">
        <f t="shared" si="1"/>
        <v>472</v>
      </c>
      <c r="B473" s="3">
        <f t="shared" si="2"/>
        <v>45733</v>
      </c>
      <c r="C473" s="3" t="str">
        <f t="shared" si="3"/>
        <v/>
      </c>
      <c r="D473" s="3" t="str">
        <f t="shared" si="4"/>
        <v>Cancelled</v>
      </c>
      <c r="E473" s="2" t="str">
        <f t="shared" si="5"/>
        <v/>
      </c>
      <c r="F473" s="2" t="str">
        <f t="array" ref="F473">INDEX(lists!F:F,RANDBETWEEN(1,6))
</f>
        <v>Living Room</v>
      </c>
      <c r="G473" s="2" t="str">
        <f t="array" ref="G473">IFS(
F473="Bedroom",INDEX(lists!G:G,RANDBETWEEN(1,4)),
F473="Living Room",INDEX(lists!H:H,RANDBETWEEN(1,4)),
F473="Dining",INDEX(lists!I:I,RANDBETWEEN(1,2)),
F473="Kitchen",INDEX(lists!J:J,RANDBETWEEN(1,4)),
F473="Office",INDEX(lists!K:K,RANDBETWEEN(1,3)),
F473="Household Essentials",INDEX(lists!L:L,RANDBETWEEN(1,3))
)
</f>
        <v>Armchair</v>
      </c>
      <c r="H473" s="2">
        <f t="shared" si="6"/>
        <v>2</v>
      </c>
      <c r="I473" s="2" t="str">
        <f t="shared" si="7"/>
        <v/>
      </c>
      <c r="J473" s="2" t="str">
        <f t="array" ref="J473">INDEX(lists!A:A,RANDBETWEEN(1,19))
</f>
        <v>Maine Community Bank</v>
      </c>
      <c r="K473" s="2" t="str">
        <f t="array" ref="K473">INDEX(lists!N:N,RANDBETWEEN(1,6))
</f>
        <v>Scarborough</v>
      </c>
      <c r="L473" s="2">
        <f t="shared" si="8"/>
        <v>4</v>
      </c>
      <c r="M473" s="2" t="str">
        <f t="array" ref="M473">INDEX(lists!O:O,RANDBETWEEN(1,2))
</f>
        <v>Delivery</v>
      </c>
      <c r="N473" s="2">
        <f t="shared" si="9"/>
        <v>3</v>
      </c>
    </row>
    <row r="474">
      <c r="A474" s="2">
        <f t="shared" si="1"/>
        <v>473</v>
      </c>
      <c r="B474" s="3">
        <f t="shared" si="2"/>
        <v>45484</v>
      </c>
      <c r="C474" s="3">
        <f t="shared" si="3"/>
        <v>45490</v>
      </c>
      <c r="D474" s="3" t="str">
        <f t="shared" si="4"/>
        <v>Completed</v>
      </c>
      <c r="E474" s="2">
        <f t="shared" si="5"/>
        <v>6</v>
      </c>
      <c r="F474" s="2" t="str">
        <f t="array" ref="F474">INDEX(lists!F:F,RANDBETWEEN(1,6))
</f>
        <v>Office</v>
      </c>
      <c r="G474" s="2" t="str">
        <f t="array" ref="G474">IFS(
F474="Bedroom",INDEX(lists!G:G,RANDBETWEEN(1,4)),
F474="Living Room",INDEX(lists!H:H,RANDBETWEEN(1,4)),
F474="Dining",INDEX(lists!I:I,RANDBETWEEN(1,2)),
F474="Kitchen",INDEX(lists!J:J,RANDBETWEEN(1,4)),
F474="Office",INDEX(lists!K:K,RANDBETWEEN(1,3)),
F474="Household Essentials",INDEX(lists!L:L,RANDBETWEEN(1,3))
)
</f>
        <v>Office Chair</v>
      </c>
      <c r="H474" s="2">
        <f t="shared" si="6"/>
        <v>2</v>
      </c>
      <c r="I474" s="2">
        <f t="shared" si="7"/>
        <v>2</v>
      </c>
      <c r="J474" s="2" t="str">
        <f t="array" ref="J474">INDEX(lists!A:A,RANDBETWEEN(1,19))
</f>
        <v>Portland Harbor Group Raymond James</v>
      </c>
      <c r="K474" s="2" t="str">
        <f t="array" ref="K474">INDEX(lists!N:N,RANDBETWEEN(1,6))
</f>
        <v>Scarborough</v>
      </c>
      <c r="L474" s="2">
        <f t="shared" si="8"/>
        <v>2</v>
      </c>
      <c r="M474" s="2" t="str">
        <f t="array" ref="M474">INDEX(lists!O:O,RANDBETWEEN(1,2))
</f>
        <v>Delivery</v>
      </c>
      <c r="N474" s="2">
        <f t="shared" si="9"/>
        <v>6</v>
      </c>
    </row>
    <row r="475">
      <c r="A475" s="2">
        <f t="shared" si="1"/>
        <v>474</v>
      </c>
      <c r="B475" s="3">
        <f t="shared" si="2"/>
        <v>45377</v>
      </c>
      <c r="C475" s="3">
        <f t="shared" si="3"/>
        <v>45390</v>
      </c>
      <c r="D475" s="3" t="str">
        <f t="shared" si="4"/>
        <v>Completed</v>
      </c>
      <c r="E475" s="2">
        <f t="shared" si="5"/>
        <v>13</v>
      </c>
      <c r="F475" s="2" t="str">
        <f t="array" ref="F475">INDEX(lists!F:F,RANDBETWEEN(1,6))
</f>
        <v>Kitchen</v>
      </c>
      <c r="G475" s="2" t="str">
        <f t="array" ref="G475">IFS(
F475="Bedroom",INDEX(lists!G:G,RANDBETWEEN(1,4)),
F475="Living Room",INDEX(lists!H:H,RANDBETWEEN(1,4)),
F475="Dining",INDEX(lists!I:I,RANDBETWEEN(1,2)),
F475="Kitchen",INDEX(lists!J:J,RANDBETWEEN(1,4)),
F475="Office",INDEX(lists!K:K,RANDBETWEEN(1,3)),
F475="Household Essentials",INDEX(lists!L:L,RANDBETWEEN(1,3))
)
</f>
        <v>Microwave</v>
      </c>
      <c r="H475" s="2">
        <f t="shared" si="6"/>
        <v>3</v>
      </c>
      <c r="I475" s="2">
        <f t="shared" si="7"/>
        <v>2</v>
      </c>
      <c r="J475" s="2" t="str">
        <f t="array" ref="J475">INDEX(lists!A:A,RANDBETWEEN(1,19))
</f>
        <v>Developers Collaborative</v>
      </c>
      <c r="K475" s="2" t="str">
        <f t="array" ref="K475">INDEX(lists!N:N,RANDBETWEEN(1,6))
</f>
        <v>South Portland</v>
      </c>
      <c r="L475" s="2">
        <f t="shared" si="8"/>
        <v>6</v>
      </c>
      <c r="M475" s="2" t="str">
        <f t="array" ref="M475">INDEX(lists!O:O,RANDBETWEEN(1,2))
</f>
        <v>Delivery</v>
      </c>
      <c r="N475" s="2">
        <f t="shared" si="9"/>
        <v>3</v>
      </c>
    </row>
    <row r="476">
      <c r="A476" s="2">
        <f t="shared" si="1"/>
        <v>475</v>
      </c>
      <c r="B476" s="3">
        <f t="shared" si="2"/>
        <v>45762</v>
      </c>
      <c r="C476" s="3">
        <f t="shared" si="3"/>
        <v>45796</v>
      </c>
      <c r="D476" s="3" t="str">
        <f t="shared" si="4"/>
        <v>Completed</v>
      </c>
      <c r="E476" s="2">
        <f t="shared" si="5"/>
        <v>34</v>
      </c>
      <c r="F476" s="2" t="str">
        <f t="array" ref="F476">INDEX(lists!F:F,RANDBETWEEN(1,6))
</f>
        <v>Office</v>
      </c>
      <c r="G476" s="2" t="str">
        <f t="array" ref="G476">IFS(
F476="Bedroom",INDEX(lists!G:G,RANDBETWEEN(1,4)),
F476="Living Room",INDEX(lists!H:H,RANDBETWEEN(1,4)),
F476="Dining",INDEX(lists!I:I,RANDBETWEEN(1,2)),
F476="Kitchen",INDEX(lists!J:J,RANDBETWEEN(1,4)),
F476="Office",INDEX(lists!K:K,RANDBETWEEN(1,3)),
F476="Household Essentials",INDEX(lists!L:L,RANDBETWEEN(1,3))
)
</f>
        <v>Bookshelf</v>
      </c>
      <c r="H476" s="2">
        <f t="shared" si="6"/>
        <v>1</v>
      </c>
      <c r="I476" s="2">
        <f t="shared" si="7"/>
        <v>1</v>
      </c>
      <c r="J476" s="2" t="str">
        <f t="array" ref="J476">INDEX(lists!A:A,RANDBETWEEN(1,19))
</f>
        <v>GoGo Refill</v>
      </c>
      <c r="K476" s="2" t="str">
        <f t="array" ref="K476">INDEX(lists!N:N,RANDBETWEEN(1,6))
</f>
        <v>Portland</v>
      </c>
      <c r="L476" s="2">
        <f t="shared" si="8"/>
        <v>5</v>
      </c>
      <c r="M476" s="2" t="str">
        <f t="array" ref="M476">INDEX(lists!O:O,RANDBETWEEN(1,2))
</f>
        <v>Delivery</v>
      </c>
      <c r="N476" s="2">
        <f t="shared" si="9"/>
        <v>1</v>
      </c>
    </row>
    <row r="477">
      <c r="A477" s="2">
        <f t="shared" si="1"/>
        <v>476</v>
      </c>
      <c r="B477" s="3">
        <f t="shared" si="2"/>
        <v>45341</v>
      </c>
      <c r="C477" s="3">
        <f t="shared" si="3"/>
        <v>45354</v>
      </c>
      <c r="D477" s="3" t="str">
        <f t="shared" si="4"/>
        <v>Completed</v>
      </c>
      <c r="E477" s="2">
        <f t="shared" si="5"/>
        <v>13</v>
      </c>
      <c r="F477" s="2" t="str">
        <f t="array" ref="F477">INDEX(lists!F:F,RANDBETWEEN(1,6))
</f>
        <v>Household Essentials</v>
      </c>
      <c r="G477" s="2" t="str">
        <f t="array" ref="G477">IFS(
F477="Bedroom",INDEX(lists!G:G,RANDBETWEEN(1,4)),
F477="Living Room",INDEX(lists!H:H,RANDBETWEEN(1,4)),
F477="Dining",INDEX(lists!I:I,RANDBETWEEN(1,2)),
F477="Kitchen",INDEX(lists!J:J,RANDBETWEEN(1,4)),
F477="Office",INDEX(lists!K:K,RANDBETWEEN(1,3)),
F477="Household Essentials",INDEX(lists!L:L,RANDBETWEEN(1,3))
)
</f>
        <v>Lamps</v>
      </c>
      <c r="H477" s="2">
        <f t="shared" si="6"/>
        <v>4</v>
      </c>
      <c r="I477" s="2">
        <f t="shared" si="7"/>
        <v>2</v>
      </c>
      <c r="J477" s="2" t="str">
        <f t="array" ref="J477">INDEX(lists!A:A,RANDBETWEEN(1,19))
</f>
        <v>Keybank</v>
      </c>
      <c r="K477" s="2" t="str">
        <f t="array" ref="K477">INDEX(lists!N:N,RANDBETWEEN(1,6))
</f>
        <v>Portland</v>
      </c>
      <c r="L477" s="2">
        <f t="shared" si="8"/>
        <v>6</v>
      </c>
      <c r="M477" s="2" t="str">
        <f t="array" ref="M477">INDEX(lists!O:O,RANDBETWEEN(1,2))
</f>
        <v>Pickup</v>
      </c>
      <c r="N477" s="2">
        <f t="shared" si="9"/>
        <v>1</v>
      </c>
    </row>
    <row r="478">
      <c r="A478" s="2">
        <f t="shared" si="1"/>
        <v>477</v>
      </c>
      <c r="B478" s="3">
        <f t="shared" si="2"/>
        <v>45670</v>
      </c>
      <c r="C478" s="3" t="str">
        <f t="shared" si="3"/>
        <v/>
      </c>
      <c r="D478" s="3" t="str">
        <f t="shared" si="4"/>
        <v>Pending</v>
      </c>
      <c r="E478" s="2" t="str">
        <f t="shared" si="5"/>
        <v/>
      </c>
      <c r="F478" s="2" t="str">
        <f t="array" ref="F478">INDEX(lists!F:F,RANDBETWEEN(1,6))
</f>
        <v>Living Room</v>
      </c>
      <c r="G478" s="2" t="str">
        <f t="array" ref="G478">IFS(
F478="Bedroom",INDEX(lists!G:G,RANDBETWEEN(1,4)),
F478="Living Room",INDEX(lists!H:H,RANDBETWEEN(1,4)),
F478="Dining",INDEX(lists!I:I,RANDBETWEEN(1,2)),
F478="Kitchen",INDEX(lists!J:J,RANDBETWEEN(1,4)),
F478="Office",INDEX(lists!K:K,RANDBETWEEN(1,3)),
F478="Household Essentials",INDEX(lists!L:L,RANDBETWEEN(1,3))
)
</f>
        <v>TV Stand</v>
      </c>
      <c r="H478" s="2">
        <f t="shared" si="6"/>
        <v>1</v>
      </c>
      <c r="I478" s="2" t="str">
        <f t="shared" si="7"/>
        <v/>
      </c>
      <c r="J478" s="2" t="str">
        <f t="array" ref="J478">INDEX(lists!A:A,RANDBETWEEN(1,19))
</f>
        <v>Spiritual Workers</v>
      </c>
      <c r="K478" s="2" t="str">
        <f t="array" ref="K478">INDEX(lists!N:N,RANDBETWEEN(1,6))
</f>
        <v>Scarborough</v>
      </c>
      <c r="L478" s="2">
        <f t="shared" si="8"/>
        <v>4</v>
      </c>
      <c r="M478" s="2" t="str">
        <f t="array" ref="M478">INDEX(lists!O:O,RANDBETWEEN(1,2))
</f>
        <v>Delivery</v>
      </c>
      <c r="N478" s="2">
        <f t="shared" si="9"/>
        <v>6</v>
      </c>
    </row>
    <row r="479">
      <c r="A479" s="2">
        <f t="shared" si="1"/>
        <v>478</v>
      </c>
      <c r="B479" s="3">
        <f t="shared" si="2"/>
        <v>45397</v>
      </c>
      <c r="C479" s="3">
        <f t="shared" si="3"/>
        <v>45401</v>
      </c>
      <c r="D479" s="3" t="str">
        <f t="shared" si="4"/>
        <v>Completed</v>
      </c>
      <c r="E479" s="2">
        <f t="shared" si="5"/>
        <v>4</v>
      </c>
      <c r="F479" s="2" t="str">
        <f t="array" ref="F479">INDEX(lists!F:F,RANDBETWEEN(1,6))
</f>
        <v>Bedroom</v>
      </c>
      <c r="G479" s="2" t="str">
        <f t="array" ref="G479">IFS(
F479="Bedroom",INDEX(lists!G:G,RANDBETWEEN(1,4)),
F479="Living Room",INDEX(lists!H:H,RANDBETWEEN(1,4)),
F479="Dining",INDEX(lists!I:I,RANDBETWEEN(1,2)),
F479="Kitchen",INDEX(lists!J:J,RANDBETWEEN(1,4)),
F479="Office",INDEX(lists!K:K,RANDBETWEEN(1,3)),
F479="Household Essentials",INDEX(lists!L:L,RANDBETWEEN(1,3))
)
</f>
        <v>Dresser</v>
      </c>
      <c r="H479" s="2">
        <f t="shared" si="6"/>
        <v>1</v>
      </c>
      <c r="I479" s="2">
        <f t="shared" si="7"/>
        <v>1</v>
      </c>
      <c r="J479" s="2" t="str">
        <f t="array" ref="J479">INDEX(lists!A:A,RANDBETWEEN(1,19))
</f>
        <v>Portland Mattress Makers</v>
      </c>
      <c r="K479" s="2" t="str">
        <f t="array" ref="K479">INDEX(lists!N:N,RANDBETWEEN(1,6))
</f>
        <v>Portland</v>
      </c>
      <c r="L479" s="2">
        <f t="shared" si="8"/>
        <v>5</v>
      </c>
      <c r="M479" s="2" t="str">
        <f t="array" ref="M479">INDEX(lists!O:O,RANDBETWEEN(1,2))
</f>
        <v>Pickup</v>
      </c>
      <c r="N479" s="2">
        <f t="shared" si="9"/>
        <v>5</v>
      </c>
    </row>
    <row r="480">
      <c r="A480" s="2">
        <f t="shared" si="1"/>
        <v>479</v>
      </c>
      <c r="B480" s="3">
        <f t="shared" si="2"/>
        <v>45303</v>
      </c>
      <c r="C480" s="3">
        <f t="shared" si="3"/>
        <v>45316</v>
      </c>
      <c r="D480" s="3" t="str">
        <f t="shared" si="4"/>
        <v>Completed</v>
      </c>
      <c r="E480" s="2">
        <f t="shared" si="5"/>
        <v>13</v>
      </c>
      <c r="F480" s="2" t="str">
        <f t="array" ref="F480">INDEX(lists!F:F,RANDBETWEEN(1,6))
</f>
        <v>Living Room</v>
      </c>
      <c r="G480" s="2" t="str">
        <f t="array" ref="G480">IFS(
F480="Bedroom",INDEX(lists!G:G,RANDBETWEEN(1,4)),
F480="Living Room",INDEX(lists!H:H,RANDBETWEEN(1,4)),
F480="Dining",INDEX(lists!I:I,RANDBETWEEN(1,2)),
F480="Kitchen",INDEX(lists!J:J,RANDBETWEEN(1,4)),
F480="Office",INDEX(lists!K:K,RANDBETWEEN(1,3)),
F480="Household Essentials",INDEX(lists!L:L,RANDBETWEEN(1,3))
)
</f>
        <v>Sofa</v>
      </c>
      <c r="H480" s="2">
        <f t="shared" si="6"/>
        <v>4</v>
      </c>
      <c r="I480" s="2">
        <f t="shared" si="7"/>
        <v>3</v>
      </c>
      <c r="J480" s="2" t="str">
        <f t="array" ref="J480">INDEX(lists!A:A,RANDBETWEEN(1,19))
</f>
        <v>Maine Community Bank</v>
      </c>
      <c r="K480" s="2" t="str">
        <f t="array" ref="K480">INDEX(lists!N:N,RANDBETWEEN(1,6))
</f>
        <v>Biddeford</v>
      </c>
      <c r="L480" s="2">
        <f t="shared" si="8"/>
        <v>2</v>
      </c>
      <c r="M480" s="2" t="str">
        <f t="array" ref="M480">INDEX(lists!O:O,RANDBETWEEN(1,2))
</f>
        <v>Pickup</v>
      </c>
      <c r="N480" s="2">
        <f t="shared" si="9"/>
        <v>1</v>
      </c>
    </row>
    <row r="481">
      <c r="A481" s="2">
        <f t="shared" si="1"/>
        <v>480</v>
      </c>
      <c r="B481" s="3">
        <f t="shared" si="2"/>
        <v>45694</v>
      </c>
      <c r="C481" s="3">
        <f t="shared" si="3"/>
        <v>45705</v>
      </c>
      <c r="D481" s="3" t="str">
        <f t="shared" si="4"/>
        <v>Completed</v>
      </c>
      <c r="E481" s="2">
        <f t="shared" si="5"/>
        <v>11</v>
      </c>
      <c r="F481" s="2" t="str">
        <f t="array" ref="F481">INDEX(lists!F:F,RANDBETWEEN(1,6))
</f>
        <v>Office</v>
      </c>
      <c r="G481" s="2" t="str">
        <f t="array" ref="G481">IFS(
F481="Bedroom",INDEX(lists!G:G,RANDBETWEEN(1,4)),
F481="Living Room",INDEX(lists!H:H,RANDBETWEEN(1,4)),
F481="Dining",INDEX(lists!I:I,RANDBETWEEN(1,2)),
F481="Kitchen",INDEX(lists!J:J,RANDBETWEEN(1,4)),
F481="Office",INDEX(lists!K:K,RANDBETWEEN(1,3)),
F481="Household Essentials",INDEX(lists!L:L,RANDBETWEEN(1,3))
)
</f>
        <v>Bookshelf</v>
      </c>
      <c r="H481" s="2">
        <f t="shared" si="6"/>
        <v>3</v>
      </c>
      <c r="I481" s="2">
        <f t="shared" si="7"/>
        <v>3</v>
      </c>
      <c r="J481" s="2" t="str">
        <f t="array" ref="J481">INDEX(lists!A:A,RANDBETWEEN(1,19))
</f>
        <v>Keybank</v>
      </c>
      <c r="K481" s="2" t="str">
        <f t="array" ref="K481">INDEX(lists!N:N,RANDBETWEEN(1,6))
</f>
        <v>Portland</v>
      </c>
      <c r="L481" s="2">
        <f t="shared" si="8"/>
        <v>3</v>
      </c>
      <c r="M481" s="2" t="str">
        <f t="array" ref="M481">INDEX(lists!O:O,RANDBETWEEN(1,2))
</f>
        <v>Delivery</v>
      </c>
      <c r="N481" s="2">
        <f t="shared" si="9"/>
        <v>2</v>
      </c>
    </row>
    <row r="482">
      <c r="A482" s="2">
        <f t="shared" si="1"/>
        <v>481</v>
      </c>
      <c r="B482" s="3">
        <f t="shared" si="2"/>
        <v>45683</v>
      </c>
      <c r="C482" s="3">
        <f t="shared" si="3"/>
        <v>45706</v>
      </c>
      <c r="D482" s="3" t="str">
        <f t="shared" si="4"/>
        <v>Completed</v>
      </c>
      <c r="E482" s="2">
        <f t="shared" si="5"/>
        <v>23</v>
      </c>
      <c r="F482" s="2" t="str">
        <f t="array" ref="F482">INDEX(lists!F:F,RANDBETWEEN(1,6))
</f>
        <v>Household Essentials</v>
      </c>
      <c r="G482" s="2" t="str">
        <f t="array" ref="G482">IFS(
F482="Bedroom",INDEX(lists!G:G,RANDBETWEEN(1,4)),
F482="Living Room",INDEX(lists!H:H,RANDBETWEEN(1,4)),
F482="Dining",INDEX(lists!I:I,RANDBETWEEN(1,2)),
F482="Kitchen",INDEX(lists!J:J,RANDBETWEEN(1,4)),
F482="Office",INDEX(lists!K:K,RANDBETWEEN(1,3)),
F482="Household Essentials",INDEX(lists!L:L,RANDBETWEEN(1,3))
)
</f>
        <v>Bedding</v>
      </c>
      <c r="H482" s="2">
        <f t="shared" si="6"/>
        <v>1</v>
      </c>
      <c r="I482" s="2">
        <f t="shared" si="7"/>
        <v>1</v>
      </c>
      <c r="J482" s="2" t="str">
        <f t="array" ref="J482">INDEX(lists!A:A,RANDBETWEEN(1,19))
</f>
        <v>Portland Harbor Group Raymond James</v>
      </c>
      <c r="K482" s="2" t="str">
        <f t="array" ref="K482">INDEX(lists!N:N,RANDBETWEEN(1,6))
</f>
        <v>Biddeford</v>
      </c>
      <c r="L482" s="2">
        <f t="shared" si="8"/>
        <v>6</v>
      </c>
      <c r="M482" s="2" t="str">
        <f t="array" ref="M482">INDEX(lists!O:O,RANDBETWEEN(1,2))
</f>
        <v>Delivery</v>
      </c>
      <c r="N482" s="2">
        <f t="shared" si="9"/>
        <v>4</v>
      </c>
    </row>
    <row r="483">
      <c r="A483" s="2">
        <f t="shared" si="1"/>
        <v>482</v>
      </c>
      <c r="B483" s="3">
        <f t="shared" si="2"/>
        <v>45541</v>
      </c>
      <c r="C483" s="3">
        <f t="shared" si="3"/>
        <v>45544</v>
      </c>
      <c r="D483" s="3" t="str">
        <f t="shared" si="4"/>
        <v>Completed</v>
      </c>
      <c r="E483" s="2">
        <f t="shared" si="5"/>
        <v>3</v>
      </c>
      <c r="F483" s="2" t="str">
        <f t="array" ref="F483">INDEX(lists!F:F,RANDBETWEEN(1,6))
</f>
        <v>Dining</v>
      </c>
      <c r="G483" s="2" t="str">
        <f t="array" ref="G483">IFS(
F483="Bedroom",INDEX(lists!G:G,RANDBETWEEN(1,4)),
F483="Living Room",INDEX(lists!H:H,RANDBETWEEN(1,4)),
F483="Dining",INDEX(lists!I:I,RANDBETWEEN(1,2)),
F483="Kitchen",INDEX(lists!J:J,RANDBETWEEN(1,4)),
F483="Office",INDEX(lists!K:K,RANDBETWEEN(1,3)),
F483="Household Essentials",INDEX(lists!L:L,RANDBETWEEN(1,3))
)
</f>
        <v>Dining Table</v>
      </c>
      <c r="H483" s="2">
        <f t="shared" si="6"/>
        <v>4</v>
      </c>
      <c r="I483" s="2">
        <f t="shared" si="7"/>
        <v>1</v>
      </c>
      <c r="J483" s="2" t="str">
        <f t="array" ref="J483">INDEX(lists!A:A,RANDBETWEEN(1,19))
</f>
        <v>Diversified</v>
      </c>
      <c r="K483" s="2" t="str">
        <f t="array" ref="K483">INDEX(lists!N:N,RANDBETWEEN(1,6))
</f>
        <v>Westbrook</v>
      </c>
      <c r="L483" s="2">
        <f t="shared" si="8"/>
        <v>2</v>
      </c>
      <c r="M483" s="2" t="str">
        <f t="array" ref="M483">INDEX(lists!O:O,RANDBETWEEN(1,2))
</f>
        <v>Pickup</v>
      </c>
      <c r="N483" s="2">
        <f t="shared" si="9"/>
        <v>1</v>
      </c>
    </row>
    <row r="484">
      <c r="A484" s="2">
        <f t="shared" si="1"/>
        <v>483</v>
      </c>
      <c r="B484" s="3">
        <f t="shared" si="2"/>
        <v>45783</v>
      </c>
      <c r="C484" s="3">
        <f t="shared" si="3"/>
        <v>45797</v>
      </c>
      <c r="D484" s="3" t="str">
        <f t="shared" si="4"/>
        <v>Completed</v>
      </c>
      <c r="E484" s="2">
        <f t="shared" si="5"/>
        <v>14</v>
      </c>
      <c r="F484" s="2" t="str">
        <f t="array" ref="F484">INDEX(lists!F:F,RANDBETWEEN(1,6))
</f>
        <v>Dining</v>
      </c>
      <c r="G484" s="2" t="str">
        <f t="array" ref="G484">IFS(
F484="Bedroom",INDEX(lists!G:G,RANDBETWEEN(1,4)),
F484="Living Room",INDEX(lists!H:H,RANDBETWEEN(1,4)),
F484="Dining",INDEX(lists!I:I,RANDBETWEEN(1,2)),
F484="Kitchen",INDEX(lists!J:J,RANDBETWEEN(1,4)),
F484="Office",INDEX(lists!K:K,RANDBETWEEN(1,3)),
F484="Household Essentials",INDEX(lists!L:L,RANDBETWEEN(1,3))
)
</f>
        <v>Dining Table</v>
      </c>
      <c r="H484" s="2">
        <f t="shared" si="6"/>
        <v>3</v>
      </c>
      <c r="I484" s="2">
        <f t="shared" si="7"/>
        <v>3</v>
      </c>
      <c r="J484" s="2" t="str">
        <f t="array" ref="J484">INDEX(lists!A:A,RANDBETWEEN(1,19))
</f>
        <v>Maine Community Bank</v>
      </c>
      <c r="K484" s="2" t="str">
        <f t="array" ref="K484">INDEX(lists!N:N,RANDBETWEEN(1,6))
</f>
        <v>Westbrook</v>
      </c>
      <c r="L484" s="2">
        <f t="shared" si="8"/>
        <v>1</v>
      </c>
      <c r="M484" s="2" t="str">
        <f t="array" ref="M484">INDEX(lists!O:O,RANDBETWEEN(1,2))
</f>
        <v>Delivery</v>
      </c>
      <c r="N484" s="2">
        <f t="shared" si="9"/>
        <v>3</v>
      </c>
    </row>
    <row r="485">
      <c r="A485" s="2">
        <f t="shared" si="1"/>
        <v>484</v>
      </c>
      <c r="B485" s="3">
        <f t="shared" si="2"/>
        <v>45754</v>
      </c>
      <c r="C485" s="3">
        <f t="shared" si="3"/>
        <v>45763</v>
      </c>
      <c r="D485" s="3" t="str">
        <f t="shared" si="4"/>
        <v>Completed</v>
      </c>
      <c r="E485" s="2">
        <f t="shared" si="5"/>
        <v>9</v>
      </c>
      <c r="F485" s="2" t="str">
        <f t="array" ref="F485">INDEX(lists!F:F,RANDBETWEEN(1,6))
</f>
        <v>Household Essentials</v>
      </c>
      <c r="G485" s="2" t="str">
        <f t="array" ref="G485">IFS(
F485="Bedroom",INDEX(lists!G:G,RANDBETWEEN(1,4)),
F485="Living Room",INDEX(lists!H:H,RANDBETWEEN(1,4)),
F485="Dining",INDEX(lists!I:I,RANDBETWEEN(1,2)),
F485="Kitchen",INDEX(lists!J:J,RANDBETWEEN(1,4)),
F485="Office",INDEX(lists!K:K,RANDBETWEEN(1,3)),
F485="Household Essentials",INDEX(lists!L:L,RANDBETWEEN(1,3))
)
</f>
        <v>Lamps</v>
      </c>
      <c r="H485" s="2">
        <f t="shared" si="6"/>
        <v>4</v>
      </c>
      <c r="I485" s="2">
        <f t="shared" si="7"/>
        <v>4</v>
      </c>
      <c r="J485" s="2" t="str">
        <f t="array" ref="J485">INDEX(lists!A:A,RANDBETWEEN(1,19))
</f>
        <v>NewHeight Group</v>
      </c>
      <c r="K485" s="2" t="str">
        <f t="array" ref="K485">INDEX(lists!N:N,RANDBETWEEN(1,6))
</f>
        <v>Biddeford</v>
      </c>
      <c r="L485" s="2">
        <f t="shared" si="8"/>
        <v>5</v>
      </c>
      <c r="M485" s="2" t="str">
        <f t="array" ref="M485">INDEX(lists!O:O,RANDBETWEEN(1,2))
</f>
        <v>Pickup</v>
      </c>
      <c r="N485" s="2">
        <f t="shared" si="9"/>
        <v>4</v>
      </c>
    </row>
    <row r="486">
      <c r="A486" s="2">
        <f t="shared" si="1"/>
        <v>485</v>
      </c>
      <c r="B486" s="3">
        <f t="shared" si="2"/>
        <v>45551</v>
      </c>
      <c r="C486" s="3">
        <f t="shared" si="3"/>
        <v>45563</v>
      </c>
      <c r="D486" s="3" t="str">
        <f t="shared" si="4"/>
        <v>Completed</v>
      </c>
      <c r="E486" s="2">
        <f t="shared" si="5"/>
        <v>12</v>
      </c>
      <c r="F486" s="2" t="str">
        <f t="array" ref="F486">INDEX(lists!F:F,RANDBETWEEN(1,6))
</f>
        <v>Office</v>
      </c>
      <c r="G486" s="2" t="str">
        <f t="array" ref="G486">IFS(
F486="Bedroom",INDEX(lists!G:G,RANDBETWEEN(1,4)),
F486="Living Room",INDEX(lists!H:H,RANDBETWEEN(1,4)),
F486="Dining",INDEX(lists!I:I,RANDBETWEEN(1,2)),
F486="Kitchen",INDEX(lists!J:J,RANDBETWEEN(1,4)),
F486="Office",INDEX(lists!K:K,RANDBETWEEN(1,3)),
F486="Household Essentials",INDEX(lists!L:L,RANDBETWEEN(1,3))
)
</f>
        <v>Office Chair</v>
      </c>
      <c r="H486" s="2">
        <f t="shared" si="6"/>
        <v>4</v>
      </c>
      <c r="I486" s="2">
        <f t="shared" si="7"/>
        <v>4</v>
      </c>
      <c r="J486" s="2" t="str">
        <f t="array" ref="J486">INDEX(lists!A:A,RANDBETWEEN(1,19))
</f>
        <v>Portland Mattress Makers</v>
      </c>
      <c r="K486" s="2" t="str">
        <f t="array" ref="K486">INDEX(lists!N:N,RANDBETWEEN(1,6))
</f>
        <v>Westbrook</v>
      </c>
      <c r="L486" s="2">
        <f t="shared" si="8"/>
        <v>6</v>
      </c>
      <c r="M486" s="2" t="str">
        <f t="array" ref="M486">INDEX(lists!O:O,RANDBETWEEN(1,2))
</f>
        <v>Delivery</v>
      </c>
      <c r="N486" s="2">
        <f t="shared" si="9"/>
        <v>1</v>
      </c>
    </row>
    <row r="487">
      <c r="A487" s="2">
        <f t="shared" si="1"/>
        <v>486</v>
      </c>
      <c r="B487" s="3">
        <f t="shared" si="2"/>
        <v>45610</v>
      </c>
      <c r="C487" s="3">
        <f t="shared" si="3"/>
        <v>45651</v>
      </c>
      <c r="D487" s="3" t="str">
        <f t="shared" si="4"/>
        <v>Completed</v>
      </c>
      <c r="E487" s="2">
        <f t="shared" si="5"/>
        <v>41</v>
      </c>
      <c r="F487" s="2" t="str">
        <f t="array" ref="F487">INDEX(lists!F:F,RANDBETWEEN(1,6))
</f>
        <v>Bedroom</v>
      </c>
      <c r="G487" s="2" t="str">
        <f t="array" ref="G487">IFS(
F487="Bedroom",INDEX(lists!G:G,RANDBETWEEN(1,4)),
F487="Living Room",INDEX(lists!H:H,RANDBETWEEN(1,4)),
F487="Dining",INDEX(lists!I:I,RANDBETWEEN(1,2)),
F487="Kitchen",INDEX(lists!J:J,RANDBETWEEN(1,4)),
F487="Office",INDEX(lists!K:K,RANDBETWEEN(1,3)),
F487="Household Essentials",INDEX(lists!L:L,RANDBETWEEN(1,3))
)
</f>
        <v>Dresser</v>
      </c>
      <c r="H487" s="2">
        <f t="shared" si="6"/>
        <v>1</v>
      </c>
      <c r="I487" s="2">
        <f t="shared" si="7"/>
        <v>1</v>
      </c>
      <c r="J487" s="2" t="str">
        <f t="array" ref="J487">INDEX(lists!A:A,RANDBETWEEN(1,19))
</f>
        <v>Developers Collaborative</v>
      </c>
      <c r="K487" s="2" t="str">
        <f t="array" ref="K487">INDEX(lists!N:N,RANDBETWEEN(1,6))
</f>
        <v>Westbrook</v>
      </c>
      <c r="L487" s="2">
        <f t="shared" si="8"/>
        <v>5</v>
      </c>
      <c r="M487" s="2" t="str">
        <f t="array" ref="M487">INDEX(lists!O:O,RANDBETWEEN(1,2))
</f>
        <v>Delivery</v>
      </c>
      <c r="N487" s="2">
        <f t="shared" si="9"/>
        <v>1</v>
      </c>
    </row>
    <row r="488">
      <c r="A488" s="2">
        <f t="shared" si="1"/>
        <v>487</v>
      </c>
      <c r="B488" s="3">
        <f t="shared" si="2"/>
        <v>45465</v>
      </c>
      <c r="C488" s="3">
        <f t="shared" si="3"/>
        <v>45478</v>
      </c>
      <c r="D488" s="3" t="str">
        <f t="shared" si="4"/>
        <v>Completed</v>
      </c>
      <c r="E488" s="2">
        <f t="shared" si="5"/>
        <v>13</v>
      </c>
      <c r="F488" s="2" t="str">
        <f t="array" ref="F488">INDEX(lists!F:F,RANDBETWEEN(1,6))
</f>
        <v>Kitchen</v>
      </c>
      <c r="G488" s="2" t="str">
        <f t="array" ref="G488">IFS(
F488="Bedroom",INDEX(lists!G:G,RANDBETWEEN(1,4)),
F488="Living Room",INDEX(lists!H:H,RANDBETWEEN(1,4)),
F488="Dining",INDEX(lists!I:I,RANDBETWEEN(1,2)),
F488="Kitchen",INDEX(lists!J:J,RANDBETWEEN(1,4)),
F488="Office",INDEX(lists!K:K,RANDBETWEEN(1,3)),
F488="Household Essentials",INDEX(lists!L:L,RANDBETWEEN(1,3))
)
</f>
        <v>Dishes</v>
      </c>
      <c r="H488" s="2">
        <f t="shared" si="6"/>
        <v>3</v>
      </c>
      <c r="I488" s="2">
        <f t="shared" si="7"/>
        <v>2</v>
      </c>
      <c r="J488" s="2" t="str">
        <f t="array" ref="J488">INDEX(lists!A:A,RANDBETWEEN(1,19))
</f>
        <v>Coffee By Design</v>
      </c>
      <c r="K488" s="2" t="str">
        <f t="array" ref="K488">INDEX(lists!N:N,RANDBETWEEN(1,6))
</f>
        <v>South Portland</v>
      </c>
      <c r="L488" s="2">
        <f t="shared" si="8"/>
        <v>1</v>
      </c>
      <c r="M488" s="2" t="str">
        <f t="array" ref="M488">INDEX(lists!O:O,RANDBETWEEN(1,2))
</f>
        <v>Delivery</v>
      </c>
      <c r="N488" s="2">
        <f t="shared" si="9"/>
        <v>6</v>
      </c>
    </row>
    <row r="489">
      <c r="A489" s="2">
        <f t="shared" si="1"/>
        <v>488</v>
      </c>
      <c r="B489" s="3">
        <f t="shared" si="2"/>
        <v>45808</v>
      </c>
      <c r="C489" s="3">
        <f t="shared" si="3"/>
        <v>45830</v>
      </c>
      <c r="D489" s="3" t="str">
        <f t="shared" si="4"/>
        <v>Completed</v>
      </c>
      <c r="E489" s="2">
        <f t="shared" si="5"/>
        <v>22</v>
      </c>
      <c r="F489" s="2" t="str">
        <f t="array" ref="F489">INDEX(lists!F:F,RANDBETWEEN(1,6))
</f>
        <v>Office</v>
      </c>
      <c r="G489" s="2" t="str">
        <f t="array" ref="G489">IFS(
F489="Bedroom",INDEX(lists!G:G,RANDBETWEEN(1,4)),
F489="Living Room",INDEX(lists!H:H,RANDBETWEEN(1,4)),
F489="Dining",INDEX(lists!I:I,RANDBETWEEN(1,2)),
F489="Kitchen",INDEX(lists!J:J,RANDBETWEEN(1,4)),
F489="Office",INDEX(lists!K:K,RANDBETWEEN(1,3)),
F489="Household Essentials",INDEX(lists!L:L,RANDBETWEEN(1,3))
)
</f>
        <v>Office Chair</v>
      </c>
      <c r="H489" s="2">
        <f t="shared" si="6"/>
        <v>1</v>
      </c>
      <c r="I489" s="2">
        <f t="shared" si="7"/>
        <v>1</v>
      </c>
      <c r="J489" s="2" t="str">
        <f t="array" ref="J489">INDEX(lists!A:A,RANDBETWEEN(1,19))
</f>
        <v>GoGo Refill</v>
      </c>
      <c r="K489" s="2" t="str">
        <f t="array" ref="K489">INDEX(lists!N:N,RANDBETWEEN(1,6))
</f>
        <v>Scarborough</v>
      </c>
      <c r="L489" s="2">
        <f t="shared" si="8"/>
        <v>3</v>
      </c>
      <c r="M489" s="2" t="str">
        <f t="array" ref="M489">INDEX(lists!O:O,RANDBETWEEN(1,2))
</f>
        <v>Pickup</v>
      </c>
      <c r="N489" s="2">
        <f t="shared" si="9"/>
        <v>3</v>
      </c>
    </row>
    <row r="490">
      <c r="A490" s="2">
        <f t="shared" si="1"/>
        <v>489</v>
      </c>
      <c r="B490" s="3">
        <f t="shared" si="2"/>
        <v>45414</v>
      </c>
      <c r="C490" s="3">
        <f t="shared" si="3"/>
        <v>45432</v>
      </c>
      <c r="D490" s="3" t="str">
        <f t="shared" si="4"/>
        <v>Completed</v>
      </c>
      <c r="E490" s="2">
        <f t="shared" si="5"/>
        <v>18</v>
      </c>
      <c r="F490" s="2" t="str">
        <f t="array" ref="F490">INDEX(lists!F:F,RANDBETWEEN(1,6))
</f>
        <v>Dining</v>
      </c>
      <c r="G490" s="2" t="str">
        <f t="array" ref="G490">IFS(
F490="Bedroom",INDEX(lists!G:G,RANDBETWEEN(1,4)),
F490="Living Room",INDEX(lists!H:H,RANDBETWEEN(1,4)),
F490="Dining",INDEX(lists!I:I,RANDBETWEEN(1,2)),
F490="Kitchen",INDEX(lists!J:J,RANDBETWEEN(1,4)),
F490="Office",INDEX(lists!K:K,RANDBETWEEN(1,3)),
F490="Household Essentials",INDEX(lists!L:L,RANDBETWEEN(1,3))
)
</f>
        <v>Dining Chair</v>
      </c>
      <c r="H490" s="2">
        <f t="shared" si="6"/>
        <v>1</v>
      </c>
      <c r="I490" s="2">
        <f t="shared" si="7"/>
        <v>1</v>
      </c>
      <c r="J490" s="2" t="str">
        <f t="array" ref="J490">INDEX(lists!A:A,RANDBETWEEN(1,19))
</f>
        <v>Portland Harbor Group Raymond James</v>
      </c>
      <c r="K490" s="2" t="str">
        <f t="array" ref="K490">INDEX(lists!N:N,RANDBETWEEN(1,6))
</f>
        <v>Portland</v>
      </c>
      <c r="L490" s="2">
        <f t="shared" si="8"/>
        <v>2</v>
      </c>
      <c r="M490" s="2" t="str">
        <f t="array" ref="M490">INDEX(lists!O:O,RANDBETWEEN(1,2))
</f>
        <v>Delivery</v>
      </c>
      <c r="N490" s="2">
        <f t="shared" si="9"/>
        <v>3</v>
      </c>
    </row>
    <row r="491">
      <c r="A491" s="2">
        <f t="shared" si="1"/>
        <v>490</v>
      </c>
      <c r="B491" s="3">
        <f t="shared" si="2"/>
        <v>45350</v>
      </c>
      <c r="C491" s="3">
        <f t="shared" si="3"/>
        <v>45358</v>
      </c>
      <c r="D491" s="3" t="str">
        <f t="shared" si="4"/>
        <v>Completed</v>
      </c>
      <c r="E491" s="2">
        <f t="shared" si="5"/>
        <v>8</v>
      </c>
      <c r="F491" s="2" t="str">
        <f t="array" ref="F491">INDEX(lists!F:F,RANDBETWEEN(1,6))
</f>
        <v>Dining</v>
      </c>
      <c r="G491" s="2" t="str">
        <f t="array" ref="G491">IFS(
F491="Bedroom",INDEX(lists!G:G,RANDBETWEEN(1,4)),
F491="Living Room",INDEX(lists!H:H,RANDBETWEEN(1,4)),
F491="Dining",INDEX(lists!I:I,RANDBETWEEN(1,2)),
F491="Kitchen",INDEX(lists!J:J,RANDBETWEEN(1,4)),
F491="Office",INDEX(lists!K:K,RANDBETWEEN(1,3)),
F491="Household Essentials",INDEX(lists!L:L,RANDBETWEEN(1,3))
)
</f>
        <v>Dining Chair</v>
      </c>
      <c r="H491" s="2">
        <f t="shared" si="6"/>
        <v>1</v>
      </c>
      <c r="I491" s="2">
        <f t="shared" si="7"/>
        <v>1</v>
      </c>
      <c r="J491" s="2" t="str">
        <f t="array" ref="J491">INDEX(lists!A:A,RANDBETWEEN(1,19))
</f>
        <v>Portland Harbor Group Raymond James</v>
      </c>
      <c r="K491" s="2" t="str">
        <f t="array" ref="K491">INDEX(lists!N:N,RANDBETWEEN(1,6))
</f>
        <v>Westbrook</v>
      </c>
      <c r="L491" s="2">
        <f t="shared" si="8"/>
        <v>6</v>
      </c>
      <c r="M491" s="2" t="str">
        <f t="array" ref="M491">INDEX(lists!O:O,RANDBETWEEN(1,2))
</f>
        <v>Delivery</v>
      </c>
      <c r="N491" s="2">
        <f t="shared" si="9"/>
        <v>1</v>
      </c>
    </row>
    <row r="492">
      <c r="A492" s="2">
        <f t="shared" si="1"/>
        <v>491</v>
      </c>
      <c r="B492" s="3">
        <f t="shared" si="2"/>
        <v>45530</v>
      </c>
      <c r="C492" s="3">
        <f t="shared" si="3"/>
        <v>45542</v>
      </c>
      <c r="D492" s="3" t="str">
        <f t="shared" si="4"/>
        <v>Completed</v>
      </c>
      <c r="E492" s="2">
        <f t="shared" si="5"/>
        <v>12</v>
      </c>
      <c r="F492" s="2" t="str">
        <f t="array" ref="F492">INDEX(lists!F:F,RANDBETWEEN(1,6))
</f>
        <v>Office</v>
      </c>
      <c r="G492" s="2" t="str">
        <f t="array" ref="G492">IFS(
F492="Bedroom",INDEX(lists!G:G,RANDBETWEEN(1,4)),
F492="Living Room",INDEX(lists!H:H,RANDBETWEEN(1,4)),
F492="Dining",INDEX(lists!I:I,RANDBETWEEN(1,2)),
F492="Kitchen",INDEX(lists!J:J,RANDBETWEEN(1,4)),
F492="Office",INDEX(lists!K:K,RANDBETWEEN(1,3)),
F492="Household Essentials",INDEX(lists!L:L,RANDBETWEEN(1,3))
)
</f>
        <v>Office Chair</v>
      </c>
      <c r="H492" s="2">
        <f t="shared" si="6"/>
        <v>4</v>
      </c>
      <c r="I492" s="2">
        <f t="shared" si="7"/>
        <v>2</v>
      </c>
      <c r="J492" s="2" t="str">
        <f t="array" ref="J492">INDEX(lists!A:A,RANDBETWEEN(1,19))
</f>
        <v>Diversified</v>
      </c>
      <c r="K492" s="2" t="str">
        <f t="array" ref="K492">INDEX(lists!N:N,RANDBETWEEN(1,6))
</f>
        <v>Scarborough</v>
      </c>
      <c r="L492" s="2">
        <f t="shared" si="8"/>
        <v>4</v>
      </c>
      <c r="M492" s="2" t="str">
        <f t="array" ref="M492">INDEX(lists!O:O,RANDBETWEEN(1,2))
</f>
        <v>Pickup</v>
      </c>
      <c r="N492" s="2">
        <f t="shared" si="9"/>
        <v>2</v>
      </c>
    </row>
    <row r="493">
      <c r="A493" s="2">
        <f t="shared" si="1"/>
        <v>492</v>
      </c>
      <c r="B493" s="3">
        <f t="shared" si="2"/>
        <v>45380</v>
      </c>
      <c r="C493" s="3">
        <f t="shared" si="3"/>
        <v>45405</v>
      </c>
      <c r="D493" s="3" t="str">
        <f t="shared" si="4"/>
        <v>Completed</v>
      </c>
      <c r="E493" s="2">
        <f t="shared" si="5"/>
        <v>25</v>
      </c>
      <c r="F493" s="2" t="str">
        <f t="array" ref="F493">INDEX(lists!F:F,RANDBETWEEN(1,6))
</f>
        <v>Household Essentials</v>
      </c>
      <c r="G493" s="2" t="str">
        <f t="array" ref="G493">IFS(
F493="Bedroom",INDEX(lists!G:G,RANDBETWEEN(1,4)),
F493="Living Room",INDEX(lists!H:H,RANDBETWEEN(1,4)),
F493="Dining",INDEX(lists!I:I,RANDBETWEEN(1,2)),
F493="Kitchen",INDEX(lists!J:J,RANDBETWEEN(1,4)),
F493="Office",INDEX(lists!K:K,RANDBETWEEN(1,3)),
F493="Household Essentials",INDEX(lists!L:L,RANDBETWEEN(1,3))
)
</f>
        <v>Lamps</v>
      </c>
      <c r="H493" s="2">
        <f t="shared" si="6"/>
        <v>2</v>
      </c>
      <c r="I493" s="2">
        <f t="shared" si="7"/>
        <v>2</v>
      </c>
      <c r="J493" s="2" t="str">
        <f t="array" ref="J493">INDEX(lists!A:A,RANDBETWEEN(1,19))
</f>
        <v>Westbrook Housing</v>
      </c>
      <c r="K493" s="2" t="str">
        <f t="array" ref="K493">INDEX(lists!N:N,RANDBETWEEN(1,6))
</f>
        <v>Portland</v>
      </c>
      <c r="L493" s="2">
        <f t="shared" si="8"/>
        <v>3</v>
      </c>
      <c r="M493" s="2" t="str">
        <f t="array" ref="M493">INDEX(lists!O:O,RANDBETWEEN(1,2))
</f>
        <v>Delivery</v>
      </c>
      <c r="N493" s="2">
        <f t="shared" si="9"/>
        <v>1</v>
      </c>
    </row>
    <row r="494">
      <c r="A494" s="2">
        <f t="shared" si="1"/>
        <v>493</v>
      </c>
      <c r="B494" s="3">
        <f t="shared" si="2"/>
        <v>45457</v>
      </c>
      <c r="C494" s="3">
        <f t="shared" si="3"/>
        <v>45470</v>
      </c>
      <c r="D494" s="3" t="str">
        <f t="shared" si="4"/>
        <v>Completed</v>
      </c>
      <c r="E494" s="2">
        <f t="shared" si="5"/>
        <v>13</v>
      </c>
      <c r="F494" s="2" t="str">
        <f t="array" ref="F494">INDEX(lists!F:F,RANDBETWEEN(1,6))
</f>
        <v>Household Essentials</v>
      </c>
      <c r="G494" s="2" t="str">
        <f t="array" ref="G494">IFS(
F494="Bedroom",INDEX(lists!G:G,RANDBETWEEN(1,4)),
F494="Living Room",INDEX(lists!H:H,RANDBETWEEN(1,4)),
F494="Dining",INDEX(lists!I:I,RANDBETWEEN(1,2)),
F494="Kitchen",INDEX(lists!J:J,RANDBETWEEN(1,4)),
F494="Office",INDEX(lists!K:K,RANDBETWEEN(1,3)),
F494="Household Essentials",INDEX(lists!L:L,RANDBETWEEN(1,3))
)
</f>
        <v>Lamps</v>
      </c>
      <c r="H494" s="2">
        <f t="shared" si="6"/>
        <v>1</v>
      </c>
      <c r="I494" s="2">
        <f t="shared" si="7"/>
        <v>1</v>
      </c>
      <c r="J494" s="2" t="str">
        <f t="array" ref="J494">INDEX(lists!A:A,RANDBETWEEN(1,19))
</f>
        <v>Saco &amp; Biddeford Savings</v>
      </c>
      <c r="K494" s="2" t="str">
        <f t="array" ref="K494">INDEX(lists!N:N,RANDBETWEEN(1,6))
</f>
        <v>South Portland</v>
      </c>
      <c r="L494" s="2">
        <f t="shared" si="8"/>
        <v>6</v>
      </c>
      <c r="M494" s="2" t="str">
        <f t="array" ref="M494">INDEX(lists!O:O,RANDBETWEEN(1,2))
</f>
        <v>Pickup</v>
      </c>
      <c r="N494" s="2">
        <f t="shared" si="9"/>
        <v>3</v>
      </c>
    </row>
    <row r="495">
      <c r="A495" s="2">
        <f t="shared" si="1"/>
        <v>494</v>
      </c>
      <c r="B495" s="3">
        <f t="shared" si="2"/>
        <v>45652</v>
      </c>
      <c r="C495" s="3">
        <f t="shared" si="3"/>
        <v>45655</v>
      </c>
      <c r="D495" s="3" t="str">
        <f t="shared" si="4"/>
        <v>Completed</v>
      </c>
      <c r="E495" s="2">
        <f t="shared" si="5"/>
        <v>3</v>
      </c>
      <c r="F495" s="2" t="str">
        <f t="array" ref="F495">INDEX(lists!F:F,RANDBETWEEN(1,6))
</f>
        <v>Bedroom</v>
      </c>
      <c r="G495" s="2" t="str">
        <f t="array" ref="G495">IFS(
F495="Bedroom",INDEX(lists!G:G,RANDBETWEEN(1,4)),
F495="Living Room",INDEX(lists!H:H,RANDBETWEEN(1,4)),
F495="Dining",INDEX(lists!I:I,RANDBETWEEN(1,2)),
F495="Kitchen",INDEX(lists!J:J,RANDBETWEEN(1,4)),
F495="Office",INDEX(lists!K:K,RANDBETWEEN(1,3)),
F495="Household Essentials",INDEX(lists!L:L,RANDBETWEEN(1,3))
)
</f>
        <v>Mattress</v>
      </c>
      <c r="H495" s="2">
        <f t="shared" si="6"/>
        <v>1</v>
      </c>
      <c r="I495" s="2">
        <f t="shared" si="7"/>
        <v>1</v>
      </c>
      <c r="J495" s="2" t="str">
        <f t="array" ref="J495">INDEX(lists!A:A,RANDBETWEEN(1,19))
</f>
        <v>Shutterbugs 4 Charity</v>
      </c>
      <c r="K495" s="2" t="str">
        <f t="array" ref="K495">INDEX(lists!N:N,RANDBETWEEN(1,6))
</f>
        <v>Westbrook</v>
      </c>
      <c r="L495" s="2">
        <f t="shared" si="8"/>
        <v>2</v>
      </c>
      <c r="M495" s="2" t="str">
        <f t="array" ref="M495">INDEX(lists!O:O,RANDBETWEEN(1,2))
</f>
        <v>Delivery</v>
      </c>
      <c r="N495" s="2">
        <f t="shared" si="9"/>
        <v>3</v>
      </c>
    </row>
    <row r="496">
      <c r="A496" s="2">
        <f t="shared" si="1"/>
        <v>495</v>
      </c>
      <c r="B496" s="3">
        <f t="shared" si="2"/>
        <v>45532</v>
      </c>
      <c r="C496" s="3">
        <f t="shared" si="3"/>
        <v>45564</v>
      </c>
      <c r="D496" s="3" t="str">
        <f t="shared" si="4"/>
        <v>Completed</v>
      </c>
      <c r="E496" s="2">
        <f t="shared" si="5"/>
        <v>32</v>
      </c>
      <c r="F496" s="2" t="str">
        <f t="array" ref="F496">INDEX(lists!F:F,RANDBETWEEN(1,6))
</f>
        <v>Dining</v>
      </c>
      <c r="G496" s="2" t="str">
        <f t="array" ref="G496">IFS(
F496="Bedroom",INDEX(lists!G:G,RANDBETWEEN(1,4)),
F496="Living Room",INDEX(lists!H:H,RANDBETWEEN(1,4)),
F496="Dining",INDEX(lists!I:I,RANDBETWEEN(1,2)),
F496="Kitchen",INDEX(lists!J:J,RANDBETWEEN(1,4)),
F496="Office",INDEX(lists!K:K,RANDBETWEEN(1,3)),
F496="Household Essentials",INDEX(lists!L:L,RANDBETWEEN(1,3))
)
</f>
        <v>Dining Table</v>
      </c>
      <c r="H496" s="2">
        <f t="shared" si="6"/>
        <v>2</v>
      </c>
      <c r="I496" s="2">
        <f t="shared" si="7"/>
        <v>1</v>
      </c>
      <c r="J496" s="2" t="str">
        <f t="array" ref="J496">INDEX(lists!A:A,RANDBETWEEN(1,19))
</f>
        <v>Rowe Ford Westbrook</v>
      </c>
      <c r="K496" s="2" t="str">
        <f t="array" ref="K496">INDEX(lists!N:N,RANDBETWEEN(1,6))
</f>
        <v>Portland</v>
      </c>
      <c r="L496" s="2">
        <f t="shared" si="8"/>
        <v>6</v>
      </c>
      <c r="M496" s="2" t="str">
        <f t="array" ref="M496">INDEX(lists!O:O,RANDBETWEEN(1,2))
</f>
        <v>Delivery</v>
      </c>
      <c r="N496" s="2">
        <f t="shared" si="9"/>
        <v>6</v>
      </c>
    </row>
    <row r="497">
      <c r="A497" s="2">
        <f t="shared" si="1"/>
        <v>496</v>
      </c>
      <c r="B497" s="3">
        <f t="shared" si="2"/>
        <v>45698</v>
      </c>
      <c r="C497" s="3">
        <f t="shared" si="3"/>
        <v>45704</v>
      </c>
      <c r="D497" s="3" t="str">
        <f t="shared" si="4"/>
        <v>Completed</v>
      </c>
      <c r="E497" s="2">
        <f t="shared" si="5"/>
        <v>6</v>
      </c>
      <c r="F497" s="2" t="str">
        <f t="array" ref="F497">INDEX(lists!F:F,RANDBETWEEN(1,6))
</f>
        <v>Living Room</v>
      </c>
      <c r="G497" s="2" t="str">
        <f t="array" ref="G497">IFS(
F497="Bedroom",INDEX(lists!G:G,RANDBETWEEN(1,4)),
F497="Living Room",INDEX(lists!H:H,RANDBETWEEN(1,4)),
F497="Dining",INDEX(lists!I:I,RANDBETWEEN(1,2)),
F497="Kitchen",INDEX(lists!J:J,RANDBETWEEN(1,4)),
F497="Office",INDEX(lists!K:K,RANDBETWEEN(1,3)),
F497="Household Essentials",INDEX(lists!L:L,RANDBETWEEN(1,3))
)
</f>
        <v>TV Stand</v>
      </c>
      <c r="H497" s="2">
        <f t="shared" si="6"/>
        <v>3</v>
      </c>
      <c r="I497" s="2">
        <f t="shared" si="7"/>
        <v>3</v>
      </c>
      <c r="J497" s="2" t="str">
        <f t="array" ref="J497">INDEX(lists!A:A,RANDBETWEEN(1,19))
</f>
        <v>Rowe Ford Westbrook</v>
      </c>
      <c r="K497" s="2" t="str">
        <f t="array" ref="K497">INDEX(lists!N:N,RANDBETWEEN(1,6))
</f>
        <v>South Portland</v>
      </c>
      <c r="L497" s="2">
        <f t="shared" si="8"/>
        <v>3</v>
      </c>
      <c r="M497" s="2" t="str">
        <f t="array" ref="M497">INDEX(lists!O:O,RANDBETWEEN(1,2))
</f>
        <v>Delivery</v>
      </c>
      <c r="N497" s="2">
        <f t="shared" si="9"/>
        <v>5</v>
      </c>
    </row>
    <row r="498">
      <c r="A498" s="2">
        <f t="shared" si="1"/>
        <v>497</v>
      </c>
      <c r="B498" s="3">
        <f t="shared" si="2"/>
        <v>45607</v>
      </c>
      <c r="C498" s="3" t="str">
        <f t="shared" si="3"/>
        <v/>
      </c>
      <c r="D498" s="3" t="str">
        <f t="shared" si="4"/>
        <v>Pending</v>
      </c>
      <c r="E498" s="2" t="str">
        <f t="shared" si="5"/>
        <v/>
      </c>
      <c r="F498" s="2" t="str">
        <f t="array" ref="F498">INDEX(lists!F:F,RANDBETWEEN(1,6))
</f>
        <v>Living Room</v>
      </c>
      <c r="G498" s="2" t="str">
        <f t="array" ref="G498">IFS(
F498="Bedroom",INDEX(lists!G:G,RANDBETWEEN(1,4)),
F498="Living Room",INDEX(lists!H:H,RANDBETWEEN(1,4)),
F498="Dining",INDEX(lists!I:I,RANDBETWEEN(1,2)),
F498="Kitchen",INDEX(lists!J:J,RANDBETWEEN(1,4)),
F498="Office",INDEX(lists!K:K,RANDBETWEEN(1,3)),
F498="Household Essentials",INDEX(lists!L:L,RANDBETWEEN(1,3))
)
</f>
        <v>Sofa</v>
      </c>
      <c r="H498" s="2">
        <f t="shared" si="6"/>
        <v>2</v>
      </c>
      <c r="I498" s="2" t="str">
        <f t="shared" si="7"/>
        <v/>
      </c>
      <c r="J498" s="2" t="str">
        <f t="array" ref="J498">INDEX(lists!A:A,RANDBETWEEN(1,19))
</f>
        <v>Portland Harbor Group Raymond James</v>
      </c>
      <c r="K498" s="2" t="str">
        <f t="array" ref="K498">INDEX(lists!N:N,RANDBETWEEN(1,6))
</f>
        <v>Westbrook</v>
      </c>
      <c r="L498" s="2">
        <f t="shared" si="8"/>
        <v>2</v>
      </c>
      <c r="M498" s="2" t="str">
        <f t="array" ref="M498">INDEX(lists!O:O,RANDBETWEEN(1,2))
</f>
        <v>Delivery</v>
      </c>
      <c r="N498" s="2">
        <f t="shared" si="9"/>
        <v>3</v>
      </c>
    </row>
    <row r="499">
      <c r="A499" s="2">
        <f t="shared" si="1"/>
        <v>498</v>
      </c>
      <c r="B499" s="3">
        <f t="shared" si="2"/>
        <v>45461</v>
      </c>
      <c r="C499" s="3">
        <f t="shared" si="3"/>
        <v>45464</v>
      </c>
      <c r="D499" s="3" t="str">
        <f t="shared" si="4"/>
        <v>Completed</v>
      </c>
      <c r="E499" s="2">
        <f t="shared" si="5"/>
        <v>3</v>
      </c>
      <c r="F499" s="2" t="str">
        <f t="array" ref="F499">INDEX(lists!F:F,RANDBETWEEN(1,6))
</f>
        <v>Dining</v>
      </c>
      <c r="G499" s="2" t="str">
        <f t="array" ref="G499">IFS(
F499="Bedroom",INDEX(lists!G:G,RANDBETWEEN(1,4)),
F499="Living Room",INDEX(lists!H:H,RANDBETWEEN(1,4)),
F499="Dining",INDEX(lists!I:I,RANDBETWEEN(1,2)),
F499="Kitchen",INDEX(lists!J:J,RANDBETWEEN(1,4)),
F499="Office",INDEX(lists!K:K,RANDBETWEEN(1,3)),
F499="Household Essentials",INDEX(lists!L:L,RANDBETWEEN(1,3))
)
</f>
        <v>Dining Table</v>
      </c>
      <c r="H499" s="2">
        <f t="shared" si="6"/>
        <v>2</v>
      </c>
      <c r="I499" s="2">
        <f t="shared" si="7"/>
        <v>1</v>
      </c>
      <c r="J499" s="2" t="str">
        <f t="array" ref="J499">INDEX(lists!A:A,RANDBETWEEN(1,19))
</f>
        <v>Saco &amp; Biddeford Savings</v>
      </c>
      <c r="K499" s="2" t="str">
        <f t="array" ref="K499">INDEX(lists!N:N,RANDBETWEEN(1,6))
</f>
        <v>South Portland</v>
      </c>
      <c r="L499" s="2">
        <f t="shared" si="8"/>
        <v>2</v>
      </c>
      <c r="M499" s="2" t="str">
        <f t="array" ref="M499">INDEX(lists!O:O,RANDBETWEEN(1,2))
</f>
        <v>Pickup</v>
      </c>
      <c r="N499" s="2">
        <f t="shared" si="9"/>
        <v>2</v>
      </c>
    </row>
    <row r="500">
      <c r="A500" s="2">
        <f t="shared" si="1"/>
        <v>499</v>
      </c>
      <c r="B500" s="3">
        <f t="shared" si="2"/>
        <v>45765</v>
      </c>
      <c r="C500" s="3" t="str">
        <f t="shared" si="3"/>
        <v/>
      </c>
      <c r="D500" s="3" t="str">
        <f t="shared" si="4"/>
        <v>Cancelled</v>
      </c>
      <c r="E500" s="2" t="str">
        <f t="shared" si="5"/>
        <v/>
      </c>
      <c r="F500" s="2" t="str">
        <f t="array" ref="F500">INDEX(lists!F:F,RANDBETWEEN(1,6))
</f>
        <v>Household Essentials</v>
      </c>
      <c r="G500" s="2" t="str">
        <f t="array" ref="G500">IFS(
F500="Bedroom",INDEX(lists!G:G,RANDBETWEEN(1,4)),
F500="Living Room",INDEX(lists!H:H,RANDBETWEEN(1,4)),
F500="Dining",INDEX(lists!I:I,RANDBETWEEN(1,2)),
F500="Kitchen",INDEX(lists!J:J,RANDBETWEEN(1,4)),
F500="Office",INDEX(lists!K:K,RANDBETWEEN(1,3)),
F500="Household Essentials",INDEX(lists!L:L,RANDBETWEEN(1,3))
)
</f>
        <v>Lamps</v>
      </c>
      <c r="H500" s="2">
        <f t="shared" si="6"/>
        <v>3</v>
      </c>
      <c r="I500" s="2" t="str">
        <f t="shared" si="7"/>
        <v/>
      </c>
      <c r="J500" s="2" t="str">
        <f t="array" ref="J500">INDEX(lists!A:A,RANDBETWEEN(1,19))
</f>
        <v>Maine Community Bank</v>
      </c>
      <c r="K500" s="2" t="str">
        <f t="array" ref="K500">INDEX(lists!N:N,RANDBETWEEN(1,6))
</f>
        <v>Portland</v>
      </c>
      <c r="L500" s="2">
        <f t="shared" si="8"/>
        <v>4</v>
      </c>
      <c r="M500" s="2" t="str">
        <f t="array" ref="M500">INDEX(lists!O:O,RANDBETWEEN(1,2))
</f>
        <v>Delivery</v>
      </c>
      <c r="N500" s="2">
        <f t="shared" si="9"/>
        <v>5</v>
      </c>
    </row>
    <row r="501">
      <c r="A501" s="2">
        <f t="shared" si="1"/>
        <v>500</v>
      </c>
      <c r="B501" s="3">
        <f t="shared" si="2"/>
        <v>45494</v>
      </c>
      <c r="C501" s="3">
        <f t="shared" si="3"/>
        <v>45506</v>
      </c>
      <c r="D501" s="3" t="str">
        <f t="shared" si="4"/>
        <v>Completed</v>
      </c>
      <c r="E501" s="2">
        <f t="shared" si="5"/>
        <v>12</v>
      </c>
      <c r="F501" s="2" t="str">
        <f t="array" ref="F501">INDEX(lists!F:F,RANDBETWEEN(1,6))
</f>
        <v>Office</v>
      </c>
      <c r="G501" s="2" t="str">
        <f t="array" ref="G501">IFS(
F501="Bedroom",INDEX(lists!G:G,RANDBETWEEN(1,4)),
F501="Living Room",INDEX(lists!H:H,RANDBETWEEN(1,4)),
F501="Dining",INDEX(lists!I:I,RANDBETWEEN(1,2)),
F501="Kitchen",INDEX(lists!J:J,RANDBETWEEN(1,4)),
F501="Office",INDEX(lists!K:K,RANDBETWEEN(1,3)),
F501="Household Essentials",INDEX(lists!L:L,RANDBETWEEN(1,3))
)
</f>
        <v>Desk</v>
      </c>
      <c r="H501" s="2">
        <f t="shared" si="6"/>
        <v>4</v>
      </c>
      <c r="I501" s="2">
        <f t="shared" si="7"/>
        <v>1</v>
      </c>
      <c r="J501" s="2" t="str">
        <f t="array" ref="J501">INDEX(lists!A:A,RANDBETWEEN(1,19))
</f>
        <v>Portland Mattress Makers</v>
      </c>
      <c r="K501" s="2" t="str">
        <f t="array" ref="K501">INDEX(lists!N:N,RANDBETWEEN(1,6))
</f>
        <v>Falmouth</v>
      </c>
      <c r="L501" s="2">
        <f t="shared" si="8"/>
        <v>6</v>
      </c>
      <c r="M501" s="2" t="str">
        <f t="array" ref="M501">INDEX(lists!O:O,RANDBETWEEN(1,2))
</f>
        <v>Delivery</v>
      </c>
      <c r="N501" s="2">
        <f t="shared" si="9"/>
        <v>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25.63"/>
  </cols>
  <sheetData>
    <row r="1">
      <c r="A1" s="2" t="s">
        <v>49</v>
      </c>
      <c r="B1" s="2" t="s">
        <v>83</v>
      </c>
      <c r="C1" s="2" t="s">
        <v>34</v>
      </c>
      <c r="D1" s="2" t="s">
        <v>84</v>
      </c>
      <c r="F1" s="2" t="s">
        <v>25</v>
      </c>
      <c r="G1" s="2" t="s">
        <v>59</v>
      </c>
      <c r="H1" s="2" t="s">
        <v>35</v>
      </c>
      <c r="I1" s="2" t="s">
        <v>16</v>
      </c>
      <c r="J1" s="2" t="s">
        <v>43</v>
      </c>
      <c r="K1" s="2" t="s">
        <v>46</v>
      </c>
      <c r="L1" s="2" t="s">
        <v>21</v>
      </c>
      <c r="N1" s="2" t="s">
        <v>34</v>
      </c>
      <c r="O1" s="2" t="s">
        <v>19</v>
      </c>
    </row>
    <row r="2">
      <c r="A2" s="2" t="s">
        <v>66</v>
      </c>
      <c r="B2" s="2" t="s">
        <v>85</v>
      </c>
      <c r="C2" s="2" t="s">
        <v>18</v>
      </c>
      <c r="D2" s="2" t="s">
        <v>84</v>
      </c>
      <c r="F2" s="2" t="s">
        <v>31</v>
      </c>
      <c r="G2" s="2" t="s">
        <v>68</v>
      </c>
      <c r="H2" s="2" t="s">
        <v>54</v>
      </c>
      <c r="I2" s="2" t="s">
        <v>37</v>
      </c>
      <c r="J2" s="2" t="s">
        <v>65</v>
      </c>
      <c r="K2" s="2" t="s">
        <v>56</v>
      </c>
      <c r="L2" s="2" t="s">
        <v>41</v>
      </c>
      <c r="N2" s="2" t="s">
        <v>18</v>
      </c>
      <c r="O2" s="2" t="s">
        <v>24</v>
      </c>
    </row>
    <row r="3">
      <c r="A3" s="2" t="s">
        <v>40</v>
      </c>
      <c r="B3" s="2" t="s">
        <v>86</v>
      </c>
      <c r="C3" s="2" t="s">
        <v>18</v>
      </c>
      <c r="D3" s="2" t="s">
        <v>84</v>
      </c>
      <c r="F3" s="2" t="s">
        <v>15</v>
      </c>
      <c r="G3" s="2" t="s">
        <v>61</v>
      </c>
      <c r="H3" s="2" t="s">
        <v>69</v>
      </c>
      <c r="J3" s="2" t="s">
        <v>53</v>
      </c>
      <c r="K3" s="2" t="s">
        <v>70</v>
      </c>
      <c r="L3" s="2" t="s">
        <v>48</v>
      </c>
      <c r="N3" s="2" t="s">
        <v>23</v>
      </c>
    </row>
    <row r="4">
      <c r="A4" s="2" t="s">
        <v>38</v>
      </c>
      <c r="B4" s="2" t="s">
        <v>85</v>
      </c>
      <c r="C4" s="2" t="s">
        <v>18</v>
      </c>
      <c r="D4" s="2" t="s">
        <v>84</v>
      </c>
      <c r="F4" s="2" t="s">
        <v>42</v>
      </c>
      <c r="G4" s="2" t="s">
        <v>26</v>
      </c>
      <c r="H4" s="2" t="s">
        <v>32</v>
      </c>
      <c r="J4" s="2" t="s">
        <v>50</v>
      </c>
      <c r="N4" s="2" t="s">
        <v>39</v>
      </c>
    </row>
    <row r="5">
      <c r="A5" s="2" t="s">
        <v>36</v>
      </c>
      <c r="B5" s="2" t="s">
        <v>87</v>
      </c>
      <c r="C5" s="2" t="s">
        <v>18</v>
      </c>
      <c r="D5" s="2" t="s">
        <v>84</v>
      </c>
      <c r="F5" s="2" t="s">
        <v>45</v>
      </c>
      <c r="N5" s="2" t="s">
        <v>60</v>
      </c>
    </row>
    <row r="6">
      <c r="A6" s="2" t="s">
        <v>63</v>
      </c>
      <c r="B6" s="2" t="s">
        <v>88</v>
      </c>
      <c r="C6" s="2" t="s">
        <v>18</v>
      </c>
      <c r="D6" s="2" t="s">
        <v>84</v>
      </c>
      <c r="F6" s="2" t="s">
        <v>20</v>
      </c>
      <c r="N6" s="2" t="s">
        <v>28</v>
      </c>
    </row>
    <row r="7">
      <c r="A7" s="2" t="s">
        <v>57</v>
      </c>
      <c r="B7" s="2" t="s">
        <v>89</v>
      </c>
      <c r="C7" s="2" t="s">
        <v>18</v>
      </c>
      <c r="D7" s="2" t="s">
        <v>84</v>
      </c>
    </row>
    <row r="8">
      <c r="A8" s="2" t="s">
        <v>27</v>
      </c>
      <c r="B8" s="2" t="s">
        <v>85</v>
      </c>
      <c r="C8" s="2" t="s">
        <v>18</v>
      </c>
      <c r="D8" s="2" t="s">
        <v>84</v>
      </c>
    </row>
    <row r="9">
      <c r="A9" s="2" t="s">
        <v>22</v>
      </c>
      <c r="B9" s="2" t="s">
        <v>86</v>
      </c>
      <c r="C9" s="2" t="s">
        <v>34</v>
      </c>
      <c r="D9" s="2" t="s">
        <v>84</v>
      </c>
    </row>
    <row r="10">
      <c r="A10" s="2" t="s">
        <v>55</v>
      </c>
      <c r="B10" s="2" t="s">
        <v>90</v>
      </c>
      <c r="C10" s="2" t="s">
        <v>18</v>
      </c>
      <c r="D10" s="2" t="s">
        <v>84</v>
      </c>
    </row>
    <row r="11">
      <c r="A11" s="2" t="s">
        <v>33</v>
      </c>
      <c r="B11" s="2" t="s">
        <v>85</v>
      </c>
      <c r="C11" s="2" t="s">
        <v>18</v>
      </c>
      <c r="D11" s="2" t="s">
        <v>84</v>
      </c>
    </row>
    <row r="12">
      <c r="A12" s="2" t="s">
        <v>47</v>
      </c>
      <c r="B12" s="2" t="s">
        <v>85</v>
      </c>
      <c r="C12" s="2" t="s">
        <v>18</v>
      </c>
      <c r="D12" s="2" t="s">
        <v>84</v>
      </c>
    </row>
    <row r="13">
      <c r="A13" s="2" t="s">
        <v>44</v>
      </c>
      <c r="B13" s="2" t="s">
        <v>91</v>
      </c>
      <c r="C13" s="2" t="s">
        <v>28</v>
      </c>
      <c r="D13" s="2" t="s">
        <v>84</v>
      </c>
    </row>
    <row r="14">
      <c r="A14" s="2" t="s">
        <v>58</v>
      </c>
      <c r="B14" s="2" t="s">
        <v>92</v>
      </c>
      <c r="C14" s="2" t="s">
        <v>18</v>
      </c>
      <c r="D14" s="2" t="s">
        <v>84</v>
      </c>
    </row>
    <row r="15">
      <c r="A15" s="2" t="s">
        <v>51</v>
      </c>
      <c r="B15" s="2" t="s">
        <v>93</v>
      </c>
      <c r="C15" s="2" t="s">
        <v>18</v>
      </c>
      <c r="D15" s="2" t="s">
        <v>84</v>
      </c>
    </row>
    <row r="16">
      <c r="A16" s="2" t="s">
        <v>17</v>
      </c>
      <c r="B16" s="2" t="s">
        <v>91</v>
      </c>
      <c r="C16" s="2" t="s">
        <v>28</v>
      </c>
      <c r="D16" s="2" t="s">
        <v>84</v>
      </c>
    </row>
    <row r="17">
      <c r="A17" s="2" t="s">
        <v>64</v>
      </c>
      <c r="B17" s="2" t="s">
        <v>90</v>
      </c>
      <c r="C17" s="2" t="s">
        <v>18</v>
      </c>
      <c r="D17" s="2" t="s">
        <v>84</v>
      </c>
    </row>
    <row r="18">
      <c r="A18" s="2" t="s">
        <v>67</v>
      </c>
      <c r="B18" s="2" t="s">
        <v>94</v>
      </c>
      <c r="C18" s="2" t="s">
        <v>23</v>
      </c>
      <c r="D18" s="2" t="s">
        <v>84</v>
      </c>
    </row>
    <row r="19">
      <c r="A19" s="2" t="s">
        <v>62</v>
      </c>
      <c r="B19" s="2" t="s">
        <v>95</v>
      </c>
      <c r="C19" s="2" t="s">
        <v>18</v>
      </c>
      <c r="D19" s="2" t="s">
        <v>84</v>
      </c>
    </row>
  </sheetData>
  <drawing r:id="rId1"/>
</worksheet>
</file>